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abbcf3306742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Export" sheetId="1" r:id="R3de8cdd1b771431d"/>
    <x:sheet xmlns:r="http://schemas.openxmlformats.org/officeDocument/2006/relationships" name="Entity Review" sheetId="2" r:id="R40cad7555b7c4e01"/>
    <x:sheet xmlns:r="http://schemas.openxmlformats.org/officeDocument/2006/relationships" name="Agent Date Clusters" sheetId="3" r:id="R54c436a943274365"/>
    <x:sheet xmlns:r="http://schemas.openxmlformats.org/officeDocument/2006/relationships" name="Summary" sheetId="4" r:id="R925cb9350dd74f0c"/>
    <x:sheet xmlns:r="http://schemas.openxmlformats.org/officeDocument/2006/relationships" name="Data Dictionary" sheetId="5" r:id="R10911430ca084e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7F6000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</x:fills>
  <x:borders count="32">
    <x:border/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B4C6E7"/>
      </x:right>
      <x:bottom style="thin">
        <x:color rgb="FFB4C6E7"/>
      </x:bottom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  <x:top style="thin">
        <x:color rgb="FFB4C6E7"/>
      </x:top>
    </x:border>
    <x:border>
      <x:right style="thin">
        <x:color rgb="FFB4C6E7"/>
      </x:right>
      <x:bottom style="thin">
        <x:color rgb="FFB4C6E7"/>
      </x:bottom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  <x:top style="thin">
        <x:color rgb="FFB4C6E7"/>
      </x:top>
    </x:border>
  </x:borders>
  <x:cellStyleXfs count="1">
    <x:xf numFmtId="0" fontId="0" fillId="0" borderId="0"/>
  </x:cellStyleXfs>
  <x:cellXfs count="138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1" fillId="2" borderId="11" xfId="0" applyNumberFormat="1" applyFont="1" applyFill="1" applyBorder="1" applyAlignment="1">
      <x:alignment vertical="center" wrapText="1"/>
    </x:xf>
    <x:xf numFmtId="0" fontId="1" fillId="2" borderId="12" xfId="0" applyNumberFormat="1" applyFont="1" applyFill="1" applyBorder="1" applyAlignment="1">
      <x:alignment vertical="center" wrapText="1"/>
    </x:xf>
    <x:xf numFmtId="0" fontId="1" fillId="2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1" fontId="0" fillId="0" borderId="14" xfId="0" applyNumberFormat="1" applyFont="1" applyFill="1" applyBorder="1" applyAlignment="1">
      <x:alignment wrapText="1"/>
    </x:xf>
    <x:xf numFmtId="201" fontId="0" fillId="0" borderId="17" xfId="0" applyNumberFormat="1" applyFont="1" applyFill="1" applyBorder="1" applyAlignment="1">
      <x:alignment wrapText="1"/>
    </x:xf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5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wrapText="1"/>
    </x:xf>
    <x:xf numFmtId="0" fontId="1" fillId="2" borderId="20" xfId="0" applyNumberFormat="1" applyFont="1" applyFill="1" applyBorder="1" applyAlignment="1">
      <x:alignment vertical="center" wrapText="1"/>
    </x:xf>
    <x:xf numFmtId="0" fontId="1" fillId="2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1" fillId="2" borderId="26" xfId="0" applyNumberFormat="1" applyFont="1" applyFill="1" applyBorder="1" applyAlignment="1">
      <x:alignment vertical="center" wrapText="1"/>
    </x:xf>
    <x:xf numFmtId="0" fontId="1" fillId="2" borderId="27" xfId="0" applyNumberFormat="1" applyFont="1" applyFill="1" applyBorder="1" applyAlignment="1">
      <x:alignment vertical="center" wrapText="1"/>
    </x:xf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4" fillId="0" borderId="22" xfId="0" applyNumberFormat="1" applyFont="1" applyFill="1" applyBorder="1"/>
    <x:xf numFmtId="0" fontId="4" fillId="0" borderId="24" xfId="0" applyNumberFormat="1" applyFont="1" applyFill="1" applyBorder="1"/>
    <x:xf numFmtId="0" fontId="4" fillId="0" borderId="28" xfId="0" applyNumberFormat="1" applyFont="1" applyFill="1" applyBorder="1"/>
    <x:xf numFmtId="0" fontId="4" fillId="0" borderId="30" xfId="0" applyNumberFormat="1" applyFont="1" applyFill="1" applyBorder="1"/>
    <x:xf numFmtId="0" fontId="0" fillId="2" borderId="22" xfId="0" applyNumberFormat="1" applyFont="1" applyFill="1" applyBorder="1"/>
    <x:xf numFmtId="0" fontId="0" fillId="2" borderId="23" xfId="0" applyNumberFormat="1" applyFont="1" applyFill="1" applyBorder="1"/>
    <x:xf numFmtId="0" fontId="0" fillId="2" borderId="28" xfId="0" applyNumberFormat="1" applyFont="1" applyFill="1" applyBorder="1"/>
    <x:xf numFmtId="0" fontId="0" fillId="2" borderId="29" xfId="0" applyNumberFormat="1" applyFont="1" applyFill="1" applyBorder="1"/>
    <x:xf numFmtId="0" fontId="1" fillId="2" borderId="22" xfId="0" applyNumberFormat="1" applyFont="1" applyFill="1" applyBorder="1"/>
    <x:xf numFmtId="0" fontId="1" fillId="2" borderId="23" xfId="0" applyNumberFormat="1" applyFont="1" applyFill="1" applyBorder="1"/>
    <x:xf numFmtId="0" fontId="1" fillId="2" borderId="28" xfId="0" applyNumberFormat="1" applyFont="1" applyFill="1" applyBorder="1"/>
    <x:xf numFmtId="0" fontId="1" fillId="2" borderId="29" xfId="0" applyNumberFormat="1" applyFont="1" applyFill="1" applyBorder="1"/>
    <x:xf numFmtId="0" fontId="1" fillId="2" borderId="22" xfId="0" applyNumberFormat="1" applyFont="1" applyFill="1" applyBorder="1" applyAlignment="1">
      <x:alignment wrapText="1"/>
    </x:xf>
    <x:xf numFmtId="0" fontId="1" fillId="2" borderId="23" xfId="0" applyNumberFormat="1" applyFont="1" applyFill="1" applyBorder="1" applyAlignment="1">
      <x:alignment wrapText="1"/>
    </x:xf>
    <x:xf numFmtId="0" fontId="1" fillId="2" borderId="28" xfId="0" applyNumberFormat="1" applyFont="1" applyFill="1" applyBorder="1" applyAlignment="1">
      <x:alignment wrapText="1"/>
    </x:xf>
    <x:xf numFmtId="0" fontId="1" fillId="2" borderId="29" xfId="0" applyNumberFormat="1" applyFont="1" applyFill="1" applyBorder="1" applyAlignment="1">
      <x:alignment wrapText="1"/>
    </x:xf>
    <x:xf numFmtId="0" fontId="1" fillId="2" borderId="22" xfId="0" applyNumberFormat="1" applyFont="1" applyFill="1" applyBorder="1" applyAlignment="1">
      <x:alignment vertical="center" wrapText="1"/>
    </x:xf>
    <x:xf numFmtId="0" fontId="1" fillId="2" borderId="23" xfId="0" applyNumberFormat="1" applyFont="1" applyFill="1" applyBorder="1" applyAlignment="1">
      <x:alignment vertical="center" wrapText="1"/>
    </x:xf>
    <x:xf numFmtId="0" fontId="1" fillId="2" borderId="28" xfId="0" applyNumberFormat="1" applyFont="1" applyFill="1" applyBorder="1" applyAlignment="1">
      <x:alignment vertical="center" wrapText="1"/>
    </x:xf>
    <x:xf numFmtId="0" fontId="1" fillId="2" borderId="29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22" xfId="0" applyNumberFormat="1" applyFont="1" applyFill="1" applyBorder="1"/>
    <x:xf numFmtId="0" fontId="0" fillId="4" borderId="23" xfId="0" applyNumberFormat="1" applyFont="1" applyFill="1" applyBorder="1"/>
    <x:xf numFmtId="0" fontId="0" fillId="4" borderId="24" xfId="0" applyNumberFormat="1" applyFont="1" applyFill="1" applyBorder="1"/>
    <x:xf numFmtId="0" fontId="0" fillId="4" borderId="25" xfId="0" applyNumberFormat="1" applyFont="1" applyFill="1" applyBorder="1"/>
    <x:xf numFmtId="0" fontId="0" fillId="4" borderId="1" xfId="0" applyNumberFormat="1" applyFont="1" applyFill="1" applyBorder="1"/>
    <x:xf numFmtId="0" fontId="0" fillId="4" borderId="28" xfId="0" applyNumberFormat="1" applyFont="1" applyFill="1" applyBorder="1"/>
    <x:xf numFmtId="0" fontId="0" fillId="4" borderId="29" xfId="0" applyNumberFormat="1" applyFont="1" applyFill="1" applyBorder="1"/>
    <x:xf numFmtId="0" fontId="0" fillId="4" borderId="30" xfId="0" applyNumberFormat="1" applyFont="1" applyFill="1" applyBorder="1"/>
    <x:xf numFmtId="0" fontId="0" fillId="4" borderId="3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22" xfId="0" applyNumberFormat="1" applyFont="1" applyFill="1" applyBorder="1" applyAlignment="1">
      <x:alignment wrapText="1"/>
    </x:xf>
    <x:xf numFmtId="0" fontId="0" fillId="4" borderId="23" xfId="0" applyNumberFormat="1" applyFont="1" applyFill="1" applyBorder="1" applyAlignment="1">
      <x:alignment wrapText="1"/>
    </x:xf>
    <x:xf numFmtId="0" fontId="0" fillId="4" borderId="24" xfId="0" applyNumberFormat="1" applyFont="1" applyFill="1" applyBorder="1" applyAlignment="1">
      <x:alignment wrapText="1"/>
    </x:xf>
    <x:xf numFmtId="0" fontId="0" fillId="4" borderId="25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28" xfId="0" applyNumberFormat="1" applyFont="1" applyFill="1" applyBorder="1" applyAlignment="1">
      <x:alignment wrapText="1"/>
    </x:xf>
    <x:xf numFmtId="0" fontId="0" fillId="4" borderId="29" xfId="0" applyNumberFormat="1" applyFont="1" applyFill="1" applyBorder="1" applyAlignment="1">
      <x:alignment wrapText="1"/>
    </x:xf>
    <x:xf numFmtId="0" fontId="0" fillId="4" borderId="30" xfId="0" applyNumberFormat="1" applyFont="1" applyFill="1" applyBorder="1" applyAlignment="1">
      <x:alignment wrapText="1"/>
    </x:xf>
    <x:xf numFmtId="0" fontId="0" fillId="4" borderId="3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22" xfId="0" applyNumberFormat="1" applyFont="1" applyFill="1" applyBorder="1" applyAlignment="1">
      <x:alignment vertical="center" wrapText="1"/>
    </x:xf>
    <x:xf numFmtId="0" fontId="0" fillId="4" borderId="23" xfId="0" applyNumberFormat="1" applyFont="1" applyFill="1" applyBorder="1" applyAlignment="1">
      <x:alignment vertical="center" wrapText="1"/>
    </x:xf>
    <x:xf numFmtId="0" fontId="0" fillId="4" borderId="24" xfId="0" applyNumberFormat="1" applyFont="1" applyFill="1" applyBorder="1" applyAlignment="1">
      <x:alignment vertical="center" wrapText="1"/>
    </x:xf>
    <x:xf numFmtId="0" fontId="0" fillId="4" borderId="25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4" borderId="28" xfId="0" applyNumberFormat="1" applyFont="1" applyFill="1" applyBorder="1" applyAlignment="1">
      <x:alignment vertical="center" wrapText="1"/>
    </x:xf>
    <x:xf numFmtId="0" fontId="0" fillId="4" borderId="29" xfId="0" applyNumberFormat="1" applyFont="1" applyFill="1" applyBorder="1" applyAlignment="1">
      <x:alignment vertical="center" wrapText="1"/>
    </x:xf>
    <x:xf numFmtId="0" fontId="0" fillId="4" borderId="30" xfId="0" applyNumberFormat="1" applyFont="1" applyFill="1" applyBorder="1" applyAlignment="1">
      <x:alignment vertical="center" wrapText="1"/>
    </x:xf>
    <x:xf numFmtId="0" fontId="0" fillId="4" borderId="3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2c618b19fd45d4" /><Relationship Type="http://schemas.openxmlformats.org/officeDocument/2006/relationships/theme" Target="/xl/theme/theme1.xml" Id="Rf42a4651a98a4b23" /><Relationship Type="http://schemas.openxmlformats.org/officeDocument/2006/relationships/sharedStrings" Target="/xl/sharedStrings.xml" Id="R524767f43db145cb" /><Relationship Type="http://schemas.openxmlformats.org/officeDocument/2006/relationships/worksheet" Target="/xl/worksheets/sheet1.xml" Id="R3de8cdd1b771431d" /><Relationship Type="http://schemas.openxmlformats.org/officeDocument/2006/relationships/worksheet" Target="/xl/worksheets/sheet2.xml" Id="R40cad7555b7c4e01" /><Relationship Type="http://schemas.openxmlformats.org/officeDocument/2006/relationships/worksheet" Target="/xl/worksheets/sheet3.xml" Id="R54c436a943274365" /><Relationship Type="http://schemas.openxmlformats.org/officeDocument/2006/relationships/worksheet" Target="/xl/worksheets/sheet4.xml" Id="R925cb9350dd74f0c" /><Relationship Type="http://schemas.openxmlformats.org/officeDocument/2006/relationships/worksheet" Target="/xl/worksheets/sheet5.xml" Id="R10911430ca084e8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92a0c3c338f489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Dorothy Snow Agent Effective Dates by Year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Entity Count</c:v>
          </c:tx>
          <c:cat>
            <c:strRef>
              <c:f>'Summary'!$D$5:$D$17</c:f>
              <c:strCache>
                <c:ptCount val="0"/>
              </c:strCache>
            </c:strRef>
          </c:cat>
          <c:val>
            <c:numRef>
              <c:f>'Summary'!$E$5:$E$17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2a0c3c338f489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DorothySnowSourceExport" displayName="DorothySnowSourceExport" ref="A1:I102" headerRowCount="1" totalsRowCount="0" totalsRowShown="0">
  <x:tableColumns count="9">
    <x:tableColumn id="1" name="Entity#"/>
    <x:tableColumn id="2" name="Name"/>
    <x:tableColumn id="3" name="Business Name"/>
    <x:tableColumn id="4" name="Type"/>
    <x:tableColumn id="5" name="Agent Effective Date"/>
    <x:tableColumn id="6" name="Status"/>
    <x:tableColumn id="7" name="Location"/>
    <x:tableColumn id="8" name="County"/>
    <x:tableColumn id="9" name="St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DorothySnowEntityReview" displayName="DorothySnowEntityReview" ref="A1:AD102" headerRowCount="1" totalsRowCount="0" totalsRowShown="0">
  <x:tableColumns count="30">
    <x:tableColumn id="1" name="Entity #"/>
    <x:tableColumn id="2" name="Business Name"/>
    <x:tableColumn id="3" name="Type"/>
    <x:tableColumn id="4" name="Agent Effective Date"/>
    <x:tableColumn id="5" name="Agent Effective Year"/>
    <x:tableColumn id="6" name="Agent Effective Month"/>
    <x:tableColumn id="7" name="Exact-Date Cluster Size"/>
    <x:tableColumn id="8" name="Current Export Status"/>
    <x:tableColumn id="9" name="Location"/>
    <x:tableColumn id="10" name="County"/>
    <x:tableColumn id="11" name="State"/>
    <x:tableColumn id="12" name="Name Signal"/>
    <x:tableColumn id="13" name="Known Anchor / Caveat"/>
    <x:tableColumn id="14" name="Review Priority"/>
    <x:tableColumn id="15" name="Review Status"/>
    <x:tableColumn id="16" name="Formation Date"/>
    <x:tableColumn id="17" name="Agent Appointment Filing ID"/>
    <x:tableColumn id="18" name="Terminal Action"/>
    <x:tableColumn id="19" name="Terminal Document ID"/>
    <x:tableColumn id="20" name="Terminal / Effective Date"/>
    <x:tableColumn id="21" name="Survivor / Resulting Entity"/>
    <x:tableColumn id="22" name="Officers / Signers / Capacities"/>
    <x:tableColumn id="23" name="Filing Addresses"/>
    <x:tableColumn id="24" name="Counsel / Preparer / Return Address"/>
    <x:tableColumn id="25" name="Property Search Status"/>
    <x:tableColumn id="26" name="Property Results"/>
    <x:tableColumn id="27" name="Corpus Search Status"/>
    <x:tableColumn id="28" name="Relatedness Assessment"/>
    <x:tableColumn id="29" name="Evidence Links / IDs"/>
    <x:tableColumn id="30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gentDateClusters" displayName="AgentDateClusters" ref="A1:D12" headerRowCount="1" totalsRowCount="0" totalsRowShown="0">
  <x:tableColumns count="4">
    <x:tableColumn id="1" name="Agent Effective Date"/>
    <x:tableColumn id="2" name="Entity Count"/>
    <x:tableColumn id="3" name="Entities"/>
    <x:tableColumn id="4" name="Interpretive Guardr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c91f90547b43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14d8cf4bb3641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f45bec73f6c4c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dcde6098301d4c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6" hidden="0" customWidth="1"/>
    <x:col min="4" max="4" width="30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12" t="str">
        <x:v>Entity#</x:v>
      </x:c>
      <x:c r="B1" s="13" t="str">
        <x:v>Name</x:v>
      </x:c>
      <x:c r="C1" s="13" t="str">
        <x:v>Business Name</x:v>
      </x:c>
      <x:c r="D1" s="13" t="str">
        <x:v>Type</x:v>
      </x:c>
      <x:c r="E1" s="13" t="str">
        <x:v>Agent Effective Date</x:v>
      </x:c>
      <x:c r="F1" s="13" t="str">
        <x:v>Status</x:v>
      </x:c>
      <x:c r="G1" s="13" t="str">
        <x:v>Location</x:v>
      </x:c>
      <x:c r="H1" s="13" t="str">
        <x:v>County</x:v>
      </x:c>
      <x:c r="I1" s="14" t="str">
        <x:v>State</x:v>
      </x:c>
    </x:row>
    <x:row r="2">
      <x:c r="A2" s="34" t="str">
        <x:v>993710</x:v>
      </x:c>
      <x:c r="B2" s="35" t="str">
        <x:v>DOROTHY SNOW</x:v>
      </x:c>
      <x:c r="C2" s="35" t="str">
        <x:v>BREWHO! LLC</x:v>
      </x:c>
      <x:c r="D2" s="35" t="str">
        <x:v>DOMESTIC LIMITED LIABILITY COMPANY</x:v>
      </x:c>
      <x:c r="E2" s="35" t="str">
        <x:v>10/07/1997</x:v>
      </x:c>
      <x:c r="F2" s="35" t="str">
        <x:v>Active</x:v>
      </x:c>
      <x:c r="G2" s="35" t="str">
        <x:v>-</x:v>
      </x:c>
      <x:c r="H2" s="35" t="str">
        <x:v>-</x:v>
      </x:c>
      <x:c r="I2" s="37" t="str">
        <x:v>OHIO</x:v>
      </x:c>
    </x:row>
    <x:row r="3">
      <x:c r="A3" s="34" t="str">
        <x:v>801367</x:v>
      </x:c>
      <x:c r="B3" s="35" t="str">
        <x:v>DOROTHY SNOW</x:v>
      </x:c>
      <x:c r="C3" s="35" t="str">
        <x:v>COMMUNITY PROJECTS, INC.</x:v>
      </x:c>
      <x:c r="D3" s="35" t="str">
        <x:v>CORPORATION FOR PROFIT</x:v>
      </x:c>
      <x:c r="E3" s="35" t="str">
        <x:v>08/13/1991</x:v>
      </x:c>
      <x:c r="F3" s="35" t="str">
        <x:v>Dead</x:v>
      </x:c>
      <x:c r="G3" s="35" t="str">
        <x:v>COLUMBUS</x:v>
      </x:c>
      <x:c r="H3" s="35" t="str">
        <x:v>FRANKLIN</x:v>
      </x:c>
      <x:c r="I3" s="37" t="str">
        <x:v>OHIO</x:v>
      </x:c>
    </x:row>
    <x:row r="4">
      <x:c r="A4" s="34" t="str">
        <x:v>769248</x:v>
      </x:c>
      <x:c r="B4" s="35" t="str">
        <x:v>DOROTHY SNOW</x:v>
      </x:c>
      <x:c r="C4" s="35" t="str">
        <x:v>WESLEYAN CONSERVATION CORP.</x:v>
      </x:c>
      <x:c r="D4" s="35" t="str">
        <x:v>CORPORATION FOR PROFIT</x:v>
      </x:c>
      <x:c r="E4" s="35" t="str">
        <x:v>05/17/1994</x:v>
      </x:c>
      <x:c r="F4" s="35" t="str">
        <x:v>Active</x:v>
      </x:c>
      <x:c r="G4" s="35" t="str">
        <x:v>COLUMBUS</x:v>
      </x:c>
      <x:c r="H4" s="35" t="str">
        <x:v>FRANKLIN</x:v>
      </x:c>
      <x:c r="I4" s="37" t="str">
        <x:v>OHIO</x:v>
      </x:c>
    </x:row>
    <x:row r="5">
      <x:c r="A5" s="34" t="str">
        <x:v>364648</x:v>
      </x:c>
      <x:c r="B5" s="35" t="str">
        <x:v>DOROTHY SNOW</x:v>
      </x:c>
      <x:c r="C5" s="35" t="str">
        <x:v>URBAN IMPROVEMENT OF COLUMBUS, INC.</x:v>
      </x:c>
      <x:c r="D5" s="35" t="str">
        <x:v>CORPORATION FOR NON-PROFIT</x:v>
      </x:c>
      <x:c r="E5" s="35" t="str">
        <x:v>02/24/1989</x:v>
      </x:c>
      <x:c r="F5" s="35" t="str">
        <x:v>Permanently Cancelled</x:v>
      </x:c>
      <x:c r="G5" s="35" t="str">
        <x:v>COLUMBUS</x:v>
      </x:c>
      <x:c r="H5" s="35" t="str">
        <x:v>FRANKLIN</x:v>
      </x:c>
      <x:c r="I5" s="37" t="str">
        <x:v>OHIO</x:v>
      </x:c>
    </x:row>
    <x:row r="6">
      <x:c r="A6" s="34" t="str">
        <x:v>713613</x:v>
      </x:c>
      <x:c r="B6" s="35" t="str">
        <x:v>DOROTHY SNOW</x:v>
      </x:c>
      <x:c r="C6" s="35" t="str">
        <x:v>BLACKSHEEP FARMS, INC.</x:v>
      </x:c>
      <x:c r="D6" s="35" t="str">
        <x:v>CORPORATION FOR PROFIT</x:v>
      </x:c>
      <x:c r="E6" s="35" t="str">
        <x:v>10/01/1993</x:v>
      </x:c>
      <x:c r="F6" s="35" t="str">
        <x:v>Dead</x:v>
      </x:c>
      <x:c r="G6" s="35" t="str">
        <x:v>DUBLIN</x:v>
      </x:c>
      <x:c r="H6" s="35" t="str">
        <x:v>FRANKLIN</x:v>
      </x:c>
      <x:c r="I6" s="37" t="str">
        <x:v>OHIO</x:v>
      </x:c>
    </x:row>
    <x:row r="7">
      <x:c r="A7" s="34" t="str">
        <x:v>713922</x:v>
      </x:c>
      <x:c r="B7" s="35" t="str">
        <x:v>DOROTHY SNOW</x:v>
      </x:c>
      <x:c r="C7" s="35" t="str">
        <x:v>FRONTIER TRADERS, INC.</x:v>
      </x:c>
      <x:c r="D7" s="35" t="str">
        <x:v>CORPORATION FOR PROFIT</x:v>
      </x:c>
      <x:c r="E7" s="35" t="str">
        <x:v>12/11/1987</x:v>
      </x:c>
      <x:c r="F7" s="35" t="str">
        <x:v>Dead</x:v>
      </x:c>
      <x:c r="G7" s="35" t="str">
        <x:v>COLUMBUS</x:v>
      </x:c>
      <x:c r="H7" s="35" t="str">
        <x:v>FRANKLIN</x:v>
      </x:c>
      <x:c r="I7" s="37" t="str">
        <x:v>OHIO</x:v>
      </x:c>
    </x:row>
    <x:row r="8">
      <x:c r="A8" s="34" t="str">
        <x:v>713923</x:v>
      </x:c>
      <x:c r="B8" s="35" t="str">
        <x:v>DOROTHY SNOW</x:v>
      </x:c>
      <x:c r="C8" s="35" t="str">
        <x:v>KITZMILLER PROPERTIES, INC.</x:v>
      </x:c>
      <x:c r="D8" s="35" t="str">
        <x:v>CORPORATION FOR PROFIT</x:v>
      </x:c>
      <x:c r="E8" s="35" t="str">
        <x:v>12/11/1987</x:v>
      </x:c>
      <x:c r="F8" s="35" t="str">
        <x:v>Dead</x:v>
      </x:c>
      <x:c r="G8" s="35" t="str">
        <x:v>COLUMBUS</x:v>
      </x:c>
      <x:c r="H8" s="35" t="str">
        <x:v>FRANKLIN</x:v>
      </x:c>
      <x:c r="I8" s="37" t="str">
        <x:v>OHIO</x:v>
      </x:c>
    </x:row>
    <x:row r="9">
      <x:c r="A9" s="34" t="str">
        <x:v>719718</x:v>
      </x:c>
      <x:c r="B9" s="35" t="str">
        <x:v>DOROTHY SNOW</x:v>
      </x:c>
      <x:c r="C9" s="35" t="str">
        <x:v>CHERRY BOTTOM INVESTORS, INC.</x:v>
      </x:c>
      <x:c r="D9" s="35" t="str">
        <x:v>CORPORATION FOR PROFIT</x:v>
      </x:c>
      <x:c r="E9" s="35" t="str">
        <x:v>03/02/1988</x:v>
      </x:c>
      <x:c r="F9" s="35" t="str">
        <x:v>Dead</x:v>
      </x:c>
      <x:c r="G9" s="35" t="str">
        <x:v>COLUMBUS</x:v>
      </x:c>
      <x:c r="H9" s="35" t="str">
        <x:v>FRANKLIN</x:v>
      </x:c>
      <x:c r="I9" s="37" t="str">
        <x:v>OHIO</x:v>
      </x:c>
    </x:row>
    <x:row r="10">
      <x:c r="A10" s="34" t="str">
        <x:v>719941</x:v>
      </x:c>
      <x:c r="B10" s="35" t="str">
        <x:v>DOROTHY SNOW</x:v>
      </x:c>
      <x:c r="C10" s="35" t="str">
        <x:v>FORDHAM INVESTMENT, INC.</x:v>
      </x:c>
      <x:c r="D10" s="35" t="str">
        <x:v>CORPORATION FOR PROFIT</x:v>
      </x:c>
      <x:c r="E10" s="35" t="str">
        <x:v>03/04/1988</x:v>
      </x:c>
      <x:c r="F10" s="35" t="str">
        <x:v>Dead</x:v>
      </x:c>
      <x:c r="G10" s="35" t="str">
        <x:v>COLUMBUS</x:v>
      </x:c>
      <x:c r="H10" s="35" t="str">
        <x:v>FRANKLIN</x:v>
      </x:c>
      <x:c r="I10" s="37" t="str">
        <x:v>OHIO</x:v>
      </x:c>
    </x:row>
    <x:row r="11">
      <x:c r="A11" s="34" t="str">
        <x:v>719942</x:v>
      </x:c>
      <x:c r="B11" s="35" t="str">
        <x:v>DOROTHY SNOW</x:v>
      </x:c>
      <x:c r="C11" s="35" t="str">
        <x:v>LINDEN ACRES, INC.</x:v>
      </x:c>
      <x:c r="D11" s="35" t="str">
        <x:v>CORPORATION FOR PROFIT</x:v>
      </x:c>
      <x:c r="E11" s="35" t="str">
        <x:v>03/04/1988</x:v>
      </x:c>
      <x:c r="F11" s="35" t="str">
        <x:v>Dead</x:v>
      </x:c>
      <x:c r="G11" s="35" t="str">
        <x:v>COLUMBUS</x:v>
      </x:c>
      <x:c r="H11" s="35" t="str">
        <x:v>FRANKLIN</x:v>
      </x:c>
      <x:c r="I11" s="37" t="str">
        <x:v>OHIO</x:v>
      </x:c>
    </x:row>
    <x:row r="12">
      <x:c r="A12" s="34" t="str">
        <x:v>719943</x:v>
      </x:c>
      <x:c r="B12" s="35" t="str">
        <x:v>DOROTHY SNOW</x:v>
      </x:c>
      <x:c r="C12" s="35" t="str">
        <x:v>MEADE DEVELOPMENT CORPORATION</x:v>
      </x:c>
      <x:c r="D12" s="35" t="str">
        <x:v>CORPORATION FOR PROFIT</x:v>
      </x:c>
      <x:c r="E12" s="35" t="str">
        <x:v>03/04/1988</x:v>
      </x:c>
      <x:c r="F12" s="35" t="str">
        <x:v>Dead</x:v>
      </x:c>
      <x:c r="G12" s="35" t="str">
        <x:v>COLUMBUS</x:v>
      </x:c>
      <x:c r="H12" s="35" t="str">
        <x:v>FRANKLIN</x:v>
      </x:c>
      <x:c r="I12" s="37" t="str">
        <x:v>OHIO</x:v>
      </x:c>
    </x:row>
    <x:row r="13">
      <x:c r="A13" s="34" t="str">
        <x:v>719944</x:v>
      </x:c>
      <x:c r="B13" s="35" t="str">
        <x:v>DOROTHY SNOW</x:v>
      </x:c>
      <x:c r="C13" s="35" t="str">
        <x:v>ROCKFORD DEVELOPMENT, INC.</x:v>
      </x:c>
      <x:c r="D13" s="35" t="str">
        <x:v>CORPORATION FOR PROFIT</x:v>
      </x:c>
      <x:c r="E13" s="35" t="str">
        <x:v>03/04/1988</x:v>
      </x:c>
      <x:c r="F13" s="35" t="str">
        <x:v>Dead</x:v>
      </x:c>
      <x:c r="G13" s="35" t="str">
        <x:v>COLUMBUS</x:v>
      </x:c>
      <x:c r="H13" s="35" t="str">
        <x:v>FRANKLIN</x:v>
      </x:c>
      <x:c r="I13" s="37" t="str">
        <x:v>OHIO</x:v>
      </x:c>
    </x:row>
    <x:row r="14">
      <x:c r="A14" s="34" t="str">
        <x:v>719945</x:v>
      </x:c>
      <x:c r="B14" s="35" t="str">
        <x:v>DOROTHY SNOW</x:v>
      </x:c>
      <x:c r="C14" s="35" t="str">
        <x:v>TUDOR PROPERTIES, INC.</x:v>
      </x:c>
      <x:c r="D14" s="35" t="str">
        <x:v>CORPORATION FOR PROFIT</x:v>
      </x:c>
      <x:c r="E14" s="35" t="str">
        <x:v>03/04/1988</x:v>
      </x:c>
      <x:c r="F14" s="35" t="str">
        <x:v>Dead</x:v>
      </x:c>
      <x:c r="G14" s="35" t="str">
        <x:v>COLUMBUS</x:v>
      </x:c>
      <x:c r="H14" s="35" t="str">
        <x:v>FRANKLIN</x:v>
      </x:c>
      <x:c r="I14" s="37" t="str">
        <x:v>OHIO</x:v>
      </x:c>
    </x:row>
    <x:row r="15">
      <x:c r="A15" s="34" t="str">
        <x:v>719946</x:v>
      </x:c>
      <x:c r="B15" s="35" t="str">
        <x:v>DOROTHY SNOW</x:v>
      </x:c>
      <x:c r="C15" s="35" t="str">
        <x:v>FORREST FARMS, INC.</x:v>
      </x:c>
      <x:c r="D15" s="35" t="str">
        <x:v>CORPORATION FOR PROFIT</x:v>
      </x:c>
      <x:c r="E15" s="35" t="str">
        <x:v>03/04/1988</x:v>
      </x:c>
      <x:c r="F15" s="35" t="str">
        <x:v>Dead</x:v>
      </x:c>
      <x:c r="G15" s="35" t="str">
        <x:v>COLUMBUS</x:v>
      </x:c>
      <x:c r="H15" s="35" t="str">
        <x:v>FRANKLIN</x:v>
      </x:c>
      <x:c r="I15" s="37" t="str">
        <x:v>OHIO</x:v>
      </x:c>
    </x:row>
    <x:row r="16">
      <x:c r="A16" s="34" t="str">
        <x:v>720246</x:v>
      </x:c>
      <x:c r="B16" s="35" t="str">
        <x:v>DOROTHY SNOW</x:v>
      </x:c>
      <x:c r="C16" s="35" t="str">
        <x:v>CASELIN DEVELOPMENT CORPORATION</x:v>
      </x:c>
      <x:c r="D16" s="35" t="str">
        <x:v>CORPORATION FOR PROFIT</x:v>
      </x:c>
      <x:c r="E16" s="35" t="str">
        <x:v>03/09/1988</x:v>
      </x:c>
      <x:c r="F16" s="35" t="str">
        <x:v>Dead</x:v>
      </x:c>
      <x:c r="G16" s="35" t="str">
        <x:v>COLUMBUS</x:v>
      </x:c>
      <x:c r="H16" s="35" t="str">
        <x:v>FRANKLIN</x:v>
      </x:c>
      <x:c r="I16" s="37" t="str">
        <x:v>OHIO</x:v>
      </x:c>
    </x:row>
    <x:row r="17">
      <x:c r="A17" s="34" t="str">
        <x:v>686610</x:v>
      </x:c>
      <x:c r="B17" s="35" t="str">
        <x:v>DOROTHY SNOW</x:v>
      </x:c>
      <x:c r="C17" s="35" t="str">
        <x:v>LONDON KITCHENS, INC.</x:v>
      </x:c>
      <x:c r="D17" s="35" t="str">
        <x:v>CORPORATION FOR PROFIT</x:v>
      </x:c>
      <x:c r="E17" s="35" t="str">
        <x:v>10/09/1986</x:v>
      </x:c>
      <x:c r="F17" s="35" t="str">
        <x:v>Cancelled</x:v>
      </x:c>
      <x:c r="G17" s="35" t="str">
        <x:v>COLUMBUS</x:v>
      </x:c>
      <x:c r="H17" s="35" t="str">
        <x:v>FRANKLIN</x:v>
      </x:c>
      <x:c r="I17" s="37" t="str">
        <x:v>OHIO</x:v>
      </x:c>
    </x:row>
    <x:row r="18">
      <x:c r="A18" s="34" t="str">
        <x:v>724612</x:v>
      </x:c>
      <x:c r="B18" s="35" t="str">
        <x:v>DOROTHY SNOW</x:v>
      </x:c>
      <x:c r="C18" s="35" t="str">
        <x:v>BLUFFTON HOLDING CORPORATION</x:v>
      </x:c>
      <x:c r="D18" s="35" t="str">
        <x:v>CORPORATION FOR PROFIT</x:v>
      </x:c>
      <x:c r="E18" s="35" t="str">
        <x:v>05/13/1988</x:v>
      </x:c>
      <x:c r="F18" s="35" t="str">
        <x:v>Dead</x:v>
      </x:c>
      <x:c r="G18" s="35" t="str">
        <x:v>COLUMBUS</x:v>
      </x:c>
      <x:c r="H18" s="35" t="str">
        <x:v>FRANKLIN</x:v>
      </x:c>
      <x:c r="I18" s="37" t="str">
        <x:v>OHIO</x:v>
      </x:c>
    </x:row>
    <x:row r="19">
      <x:c r="A19" s="34" t="str">
        <x:v>724613</x:v>
      </x:c>
      <x:c r="B19" s="35" t="str">
        <x:v>DOROTHY SNOW</x:v>
      </x:c>
      <x:c r="C19" s="35" t="str">
        <x:v>DIAMOND DEVELOPMENT COMPANY</x:v>
      </x:c>
      <x:c r="D19" s="35" t="str">
        <x:v>CORPORATION FOR PROFIT</x:v>
      </x:c>
      <x:c r="E19" s="35" t="str">
        <x:v>05/13/1988</x:v>
      </x:c>
      <x:c r="F19" s="35" t="str">
        <x:v>Dead</x:v>
      </x:c>
      <x:c r="G19" s="35" t="str">
        <x:v>COLUMBUS</x:v>
      </x:c>
      <x:c r="H19" s="35" t="str">
        <x:v>FRANKLIN</x:v>
      </x:c>
      <x:c r="I19" s="37" t="str">
        <x:v>OHIO</x:v>
      </x:c>
    </x:row>
    <x:row r="20">
      <x:c r="A20" s="34" t="str">
        <x:v>724614</x:v>
      </x:c>
      <x:c r="B20" s="35" t="str">
        <x:v>DOROTHY SNOW</x:v>
      </x:c>
      <x:c r="C20" s="35" t="str">
        <x:v>DONCASTER DEVELOPMENT, INC.</x:v>
      </x:c>
      <x:c r="D20" s="35" t="str">
        <x:v>CORPORATION FOR PROFIT</x:v>
      </x:c>
      <x:c r="E20" s="35" t="str">
        <x:v>05/13/1988</x:v>
      </x:c>
      <x:c r="F20" s="35" t="str">
        <x:v>Dead</x:v>
      </x:c>
      <x:c r="G20" s="35" t="str">
        <x:v>COLUMBUS</x:v>
      </x:c>
      <x:c r="H20" s="35" t="str">
        <x:v>FRANKLIN</x:v>
      </x:c>
      <x:c r="I20" s="37" t="str">
        <x:v>OHIO</x:v>
      </x:c>
    </x:row>
    <x:row r="21">
      <x:c r="A21" s="34" t="str">
        <x:v>724615</x:v>
      </x:c>
      <x:c r="B21" s="35" t="str">
        <x:v>DOROTHY SNOW</x:v>
      </x:c>
      <x:c r="C21" s="35" t="str">
        <x:v>DONNER DEVELOPMENT COMPANY</x:v>
      </x:c>
      <x:c r="D21" s="35" t="str">
        <x:v>CORPORATION FOR PROFIT</x:v>
      </x:c>
      <x:c r="E21" s="35" t="str">
        <x:v>05/13/1988</x:v>
      </x:c>
      <x:c r="F21" s="35" t="str">
        <x:v>Dead</x:v>
      </x:c>
      <x:c r="G21" s="35" t="str">
        <x:v>COLUMBUS</x:v>
      </x:c>
      <x:c r="H21" s="35" t="str">
        <x:v>FRANKLIN</x:v>
      </x:c>
      <x:c r="I21" s="37" t="str">
        <x:v>OHIO</x:v>
      </x:c>
    </x:row>
    <x:row r="22">
      <x:c r="A22" s="34" t="str">
        <x:v>724616</x:v>
      </x:c>
      <x:c r="B22" s="35" t="str">
        <x:v>DOROTHY SNOW</x:v>
      </x:c>
      <x:c r="C22" s="35" t="str">
        <x:v>FARMINGTON DEVELOPERS, INC.</x:v>
      </x:c>
      <x:c r="D22" s="35" t="str">
        <x:v>CORPORATION FOR PROFIT</x:v>
      </x:c>
      <x:c r="E22" s="35" t="str">
        <x:v>05/13/1988</x:v>
      </x:c>
      <x:c r="F22" s="35" t="str">
        <x:v>Dead</x:v>
      </x:c>
      <x:c r="G22" s="35" t="str">
        <x:v>COLUMBUS</x:v>
      </x:c>
      <x:c r="H22" s="35" t="str">
        <x:v>FRANKLIN</x:v>
      </x:c>
      <x:c r="I22" s="37" t="str">
        <x:v>OHIO</x:v>
      </x:c>
    </x:row>
    <x:row r="23">
      <x:c r="A23" s="34" t="str">
        <x:v>724617</x:v>
      </x:c>
      <x:c r="B23" s="35" t="str">
        <x:v>DOROTHY SNOW</x:v>
      </x:c>
      <x:c r="C23" s="35" t="str">
        <x:v>LANDES MANAGEMENT CORPORATION</x:v>
      </x:c>
      <x:c r="D23" s="35" t="str">
        <x:v>CORPORATION FOR PROFIT</x:v>
      </x:c>
      <x:c r="E23" s="35" t="str">
        <x:v>05/13/1988</x:v>
      </x:c>
      <x:c r="F23" s="35" t="str">
        <x:v>Dead</x:v>
      </x:c>
      <x:c r="G23" s="35" t="str">
        <x:v>COLUMBUS</x:v>
      </x:c>
      <x:c r="H23" s="35" t="str">
        <x:v>FRANKLIN</x:v>
      </x:c>
      <x:c r="I23" s="37" t="str">
        <x:v>OHIO</x:v>
      </x:c>
    </x:row>
    <x:row r="24">
      <x:c r="A24" s="34" t="str">
        <x:v>724618</x:v>
      </x:c>
      <x:c r="B24" s="35" t="str">
        <x:v>DOROTHY SNOW</x:v>
      </x:c>
      <x:c r="C24" s="35" t="str">
        <x:v>MAYCOR INCORPORATED</x:v>
      </x:c>
      <x:c r="D24" s="35" t="str">
        <x:v>CORPORATION FOR PROFIT</x:v>
      </x:c>
      <x:c r="E24" s="35" t="str">
        <x:v>05/13/1988</x:v>
      </x:c>
      <x:c r="F24" s="35" t="str">
        <x:v>Dead</x:v>
      </x:c>
      <x:c r="G24" s="35" t="str">
        <x:v>COLUMBUS</x:v>
      </x:c>
      <x:c r="H24" s="35" t="str">
        <x:v>FRANKLIN</x:v>
      </x:c>
      <x:c r="I24" s="37" t="str">
        <x:v>OHIO</x:v>
      </x:c>
    </x:row>
    <x:row r="25">
      <x:c r="A25" s="34" t="str">
        <x:v>724619</x:v>
      </x:c>
      <x:c r="B25" s="35" t="str">
        <x:v>DOROTHY SNOW</x:v>
      </x:c>
      <x:c r="C25" s="35" t="str">
        <x:v>MELLERIC CORPORATION</x:v>
      </x:c>
      <x:c r="D25" s="35" t="str">
        <x:v>CORPORATION FOR PROFIT</x:v>
      </x:c>
      <x:c r="E25" s="35" t="str">
        <x:v>05/13/1988</x:v>
      </x:c>
      <x:c r="F25" s="35" t="str">
        <x:v>Dead</x:v>
      </x:c>
      <x:c r="G25" s="35" t="str">
        <x:v>COLUMBUS</x:v>
      </x:c>
      <x:c r="H25" s="35" t="str">
        <x:v>FRANKLIN</x:v>
      </x:c>
      <x:c r="I25" s="37" t="str">
        <x:v>OHIO</x:v>
      </x:c>
    </x:row>
    <x:row r="26">
      <x:c r="A26" s="34" t="str">
        <x:v>724620</x:v>
      </x:c>
      <x:c r="B26" s="35" t="str">
        <x:v>DOROTHY SNOW</x:v>
      </x:c>
      <x:c r="C26" s="35" t="str">
        <x:v>SUMMIT HOLDING, INC.</x:v>
      </x:c>
      <x:c r="D26" s="35" t="str">
        <x:v>CORPORATION FOR PROFIT</x:v>
      </x:c>
      <x:c r="E26" s="35" t="str">
        <x:v>05/13/1988</x:v>
      </x:c>
      <x:c r="F26" s="35" t="str">
        <x:v>Dead</x:v>
      </x:c>
      <x:c r="G26" s="35" t="str">
        <x:v>COLUMBUS</x:v>
      </x:c>
      <x:c r="H26" s="35" t="str">
        <x:v>FRANKLIN</x:v>
      </x:c>
      <x:c r="I26" s="37" t="str">
        <x:v>OHIO</x:v>
      </x:c>
    </x:row>
    <x:row r="27">
      <x:c r="A27" s="34" t="str">
        <x:v>724621</x:v>
      </x:c>
      <x:c r="B27" s="35" t="str">
        <x:v>DOROTHY SNOW</x:v>
      </x:c>
      <x:c r="C27" s="35" t="str">
        <x:v>UNION HOLDING CORPORATION</x:v>
      </x:c>
      <x:c r="D27" s="35" t="str">
        <x:v>CORPORATION FOR PROFIT</x:v>
      </x:c>
      <x:c r="E27" s="35" t="str">
        <x:v>05/13/1988</x:v>
      </x:c>
      <x:c r="F27" s="35" t="str">
        <x:v>Dead</x:v>
      </x:c>
      <x:c r="G27" s="35" t="str">
        <x:v>COLUMBUS</x:v>
      </x:c>
      <x:c r="H27" s="35" t="str">
        <x:v>FRANKLIN</x:v>
      </x:c>
      <x:c r="I27" s="37" t="str">
        <x:v>OHIO</x:v>
      </x:c>
    </x:row>
    <x:row r="28">
      <x:c r="A28" s="34" t="str">
        <x:v>695020</x:v>
      </x:c>
      <x:c r="B28" s="35" t="str">
        <x:v>DOROTHY SNOW</x:v>
      </x:c>
      <x:c r="C28" s="35" t="str">
        <x:v>NELC, INC.</x:v>
      </x:c>
      <x:c r="D28" s="35" t="str">
        <x:v>CORPORATION FOR PROFIT</x:v>
      </x:c>
      <x:c r="E28" s="35" t="str">
        <x:v>02/18/1987</x:v>
      </x:c>
      <x:c r="F28" s="35" t="str">
        <x:v>Dead</x:v>
      </x:c>
      <x:c r="G28" s="35" t="str">
        <x:v>COLUMBUS</x:v>
      </x:c>
      <x:c r="H28" s="35" t="str">
        <x:v>FRANKLIN</x:v>
      </x:c>
      <x:c r="I28" s="37" t="str">
        <x:v>OHIO</x:v>
      </x:c>
    </x:row>
    <x:row r="29">
      <x:c r="A29" s="34" t="str">
        <x:v>728763</x:v>
      </x:c>
      <x:c r="B29" s="35" t="str">
        <x:v>DOROTHY SNOW</x:v>
      </x:c>
      <x:c r="C29" s="35" t="str">
        <x:v>WHEATON COMPANY</x:v>
      </x:c>
      <x:c r="D29" s="35" t="str">
        <x:v>CORPORATION FOR PROFIT</x:v>
      </x:c>
      <x:c r="E29" s="35" t="str">
        <x:v>07/15/1988</x:v>
      </x:c>
      <x:c r="F29" s="35" t="str">
        <x:v>Dead</x:v>
      </x:c>
      <x:c r="G29" s="35" t="str">
        <x:v>COLUMBUS</x:v>
      </x:c>
      <x:c r="H29" s="35" t="str">
        <x:v>FRANKLIN</x:v>
      </x:c>
      <x:c r="I29" s="37" t="str">
        <x:v>OHIO</x:v>
      </x:c>
    </x:row>
    <x:row r="30">
      <x:c r="A30" s="34" t="str">
        <x:v>728764</x:v>
      </x:c>
      <x:c r="B30" s="35" t="str">
        <x:v>DOROTHY SNOW</x:v>
      </x:c>
      <x:c r="C30" s="35" t="str">
        <x:v>ARGOTRON CORPORATION</x:v>
      </x:c>
      <x:c r="D30" s="35" t="str">
        <x:v>CORPORATION FOR PROFIT</x:v>
      </x:c>
      <x:c r="E30" s="35" t="str">
        <x:v>07/15/1988</x:v>
      </x:c>
      <x:c r="F30" s="35" t="str">
        <x:v>Dead</x:v>
      </x:c>
      <x:c r="G30" s="35" t="str">
        <x:v>COLUMBUS</x:v>
      </x:c>
      <x:c r="H30" s="35" t="str">
        <x:v>FRANKLIN</x:v>
      </x:c>
      <x:c r="I30" s="37" t="str">
        <x:v>OHIO</x:v>
      </x:c>
    </x:row>
    <x:row r="31">
      <x:c r="A31" s="34" t="str">
        <x:v>728765</x:v>
      </x:c>
      <x:c r="B31" s="35" t="str">
        <x:v>DOROTHY SNOW</x:v>
      </x:c>
      <x:c r="C31" s="35" t="str">
        <x:v>CURRANT CORPORATION</x:v>
      </x:c>
      <x:c r="D31" s="35" t="str">
        <x:v>CORPORATION FOR PROFIT</x:v>
      </x:c>
      <x:c r="E31" s="35" t="str">
        <x:v>07/15/1988</x:v>
      </x:c>
      <x:c r="F31" s="35" t="str">
        <x:v>Dead</x:v>
      </x:c>
      <x:c r="G31" s="35" t="str">
        <x:v>COLUMBUS</x:v>
      </x:c>
      <x:c r="H31" s="35" t="str">
        <x:v>FRANKLIN</x:v>
      </x:c>
      <x:c r="I31" s="37" t="str">
        <x:v>OHIO</x:v>
      </x:c>
    </x:row>
    <x:row r="32">
      <x:c r="A32" s="34" t="str">
        <x:v>728766</x:v>
      </x:c>
      <x:c r="B32" s="35" t="str">
        <x:v>DOROTHY SNOW</x:v>
      </x:c>
      <x:c r="C32" s="35" t="str">
        <x:v>MACKINAW MARKETING CO.</x:v>
      </x:c>
      <x:c r="D32" s="35" t="str">
        <x:v>CORPORATION FOR PROFIT</x:v>
      </x:c>
      <x:c r="E32" s="35" t="str">
        <x:v>07/15/1988</x:v>
      </x:c>
      <x:c r="F32" s="35" t="str">
        <x:v>Dead</x:v>
      </x:c>
      <x:c r="G32" s="35" t="str">
        <x:v>COLUMBUS</x:v>
      </x:c>
      <x:c r="H32" s="35" t="str">
        <x:v>FRANKLIN</x:v>
      </x:c>
      <x:c r="I32" s="37" t="str">
        <x:v>OHIO</x:v>
      </x:c>
    </x:row>
    <x:row r="33">
      <x:c r="A33" s="34" t="str">
        <x:v>728767</x:v>
      </x:c>
      <x:c r="B33" s="35" t="str">
        <x:v>DOROTHY SNOW</x:v>
      </x:c>
      <x:c r="C33" s="35" t="str">
        <x:v>MARGIN MANAGEMENT COMPANY</x:v>
      </x:c>
      <x:c r="D33" s="35" t="str">
        <x:v>CORPORATION FOR PROFIT</x:v>
      </x:c>
      <x:c r="E33" s="35" t="str">
        <x:v>07/15/1988</x:v>
      </x:c>
      <x:c r="F33" s="35" t="str">
        <x:v>Dead</x:v>
      </x:c>
      <x:c r="G33" s="35" t="str">
        <x:v>COLUMBUS</x:v>
      </x:c>
      <x:c r="H33" s="35" t="str">
        <x:v>FRANKLIN</x:v>
      </x:c>
      <x:c r="I33" s="37" t="str">
        <x:v>OHIO</x:v>
      </x:c>
    </x:row>
    <x:row r="34">
      <x:c r="A34" s="34" t="str">
        <x:v>728768</x:v>
      </x:c>
      <x:c r="B34" s="35" t="str">
        <x:v>DOROTHY SNOW</x:v>
      </x:c>
      <x:c r="C34" s="35" t="str">
        <x:v>SCRIPTON PRODUCTS, INC.</x:v>
      </x:c>
      <x:c r="D34" s="35" t="str">
        <x:v>CORPORATION FOR PROFIT</x:v>
      </x:c>
      <x:c r="E34" s="35" t="str">
        <x:v>07/15/1988</x:v>
      </x:c>
      <x:c r="F34" s="35" t="str">
        <x:v>Dead</x:v>
      </x:c>
      <x:c r="G34" s="35" t="str">
        <x:v>COLUMBUS</x:v>
      </x:c>
      <x:c r="H34" s="35" t="str">
        <x:v>FRANKLIN</x:v>
      </x:c>
      <x:c r="I34" s="37" t="str">
        <x:v>OHIO</x:v>
      </x:c>
    </x:row>
    <x:row r="35">
      <x:c r="A35" s="34" t="str">
        <x:v>731360</x:v>
      </x:c>
      <x:c r="B35" s="35" t="str">
        <x:v>DOROTHY SNOW</x:v>
      </x:c>
      <x:c r="C35" s="35" t="str">
        <x:v>JETNER CORPORATION</x:v>
      </x:c>
      <x:c r="D35" s="35" t="str">
        <x:v>CORPORATION FOR PROFIT</x:v>
      </x:c>
      <x:c r="E35" s="35" t="str">
        <x:v>08/24/1988</x:v>
      </x:c>
      <x:c r="F35" s="35" t="str">
        <x:v>Dead</x:v>
      </x:c>
      <x:c r="G35" s="35" t="str">
        <x:v>COLUMBUS</x:v>
      </x:c>
      <x:c r="H35" s="35" t="str">
        <x:v>FRANKLIN</x:v>
      </x:c>
      <x:c r="I35" s="37" t="str">
        <x:v>OHIO</x:v>
      </x:c>
    </x:row>
    <x:row r="36">
      <x:c r="A36" s="34" t="str">
        <x:v>731361</x:v>
      </x:c>
      <x:c r="B36" s="35" t="str">
        <x:v>DOROTHY SNOW</x:v>
      </x:c>
      <x:c r="C36" s="35" t="str">
        <x:v>MENTIN PRODUCTS, INC.</x:v>
      </x:c>
      <x:c r="D36" s="35" t="str">
        <x:v>CORPORATION FOR PROFIT</x:v>
      </x:c>
      <x:c r="E36" s="35" t="str">
        <x:v>08/24/1988</x:v>
      </x:c>
      <x:c r="F36" s="35" t="str">
        <x:v>Dead</x:v>
      </x:c>
      <x:c r="G36" s="35" t="str">
        <x:v>COLUMBUS</x:v>
      </x:c>
      <x:c r="H36" s="35" t="str">
        <x:v>FRANKLIN</x:v>
      </x:c>
      <x:c r="I36" s="37" t="str">
        <x:v>OHIO</x:v>
      </x:c>
    </x:row>
    <x:row r="37">
      <x:c r="A37" s="34" t="str">
        <x:v>731362</x:v>
      </x:c>
      <x:c r="B37" s="35" t="str">
        <x:v>DOROTHY SNOW</x:v>
      </x:c>
      <x:c r="C37" s="35" t="str">
        <x:v>CHATTEN MARKETING COMPANY</x:v>
      </x:c>
      <x:c r="D37" s="35" t="str">
        <x:v>CORPORATION FOR PROFIT</x:v>
      </x:c>
      <x:c r="E37" s="35" t="str">
        <x:v>08/24/1988</x:v>
      </x:c>
      <x:c r="F37" s="35" t="str">
        <x:v>Dead</x:v>
      </x:c>
      <x:c r="G37" s="35" t="str">
        <x:v>COLUMBUS</x:v>
      </x:c>
      <x:c r="H37" s="35" t="str">
        <x:v>FRANKLIN</x:v>
      </x:c>
      <x:c r="I37" s="37" t="str">
        <x:v>OHIO</x:v>
      </x:c>
    </x:row>
    <x:row r="38">
      <x:c r="A38" s="34" t="str">
        <x:v>731363</x:v>
      </x:c>
      <x:c r="B38" s="35" t="str">
        <x:v>DOROTHY SNOW</x:v>
      </x:c>
      <x:c r="C38" s="35" t="str">
        <x:v>FANTEL PRODUCTS COMPANY</x:v>
      </x:c>
      <x:c r="D38" s="35" t="str">
        <x:v>CORPORATION FOR PROFIT</x:v>
      </x:c>
      <x:c r="E38" s="35" t="str">
        <x:v>08/24/1988</x:v>
      </x:c>
      <x:c r="F38" s="35" t="str">
        <x:v>Dead</x:v>
      </x:c>
      <x:c r="G38" s="35" t="str">
        <x:v>COLUMBUS</x:v>
      </x:c>
      <x:c r="H38" s="35" t="str">
        <x:v>FRANKLIN</x:v>
      </x:c>
      <x:c r="I38" s="37" t="str">
        <x:v>OHIO</x:v>
      </x:c>
    </x:row>
    <x:row r="39">
      <x:c r="A39" s="34" t="str">
        <x:v>731364</x:v>
      </x:c>
      <x:c r="B39" s="35" t="str">
        <x:v>DOROTHY SNOW</x:v>
      </x:c>
      <x:c r="C39" s="35" t="str">
        <x:v>GRAETON DEVELOPMENT COMPANY</x:v>
      </x:c>
      <x:c r="D39" s="35" t="str">
        <x:v>CORPORATION FOR PROFIT</x:v>
      </x:c>
      <x:c r="E39" s="35" t="str">
        <x:v>08/24/1988</x:v>
      </x:c>
      <x:c r="F39" s="35" t="str">
        <x:v>Dead</x:v>
      </x:c>
      <x:c r="G39" s="35" t="str">
        <x:v>COLUMBUS</x:v>
      </x:c>
      <x:c r="H39" s="35" t="str">
        <x:v>FRANKLIN</x:v>
      </x:c>
      <x:c r="I39" s="37" t="str">
        <x:v>OHIO</x:v>
      </x:c>
    </x:row>
    <x:row r="40">
      <x:c r="A40" s="34" t="str">
        <x:v>731365</x:v>
      </x:c>
      <x:c r="B40" s="35" t="str">
        <x:v>DOROTHY SNOW</x:v>
      </x:c>
      <x:c r="C40" s="35" t="str">
        <x:v>INDICO INVESTMENTS, INC.</x:v>
      </x:c>
      <x:c r="D40" s="35" t="str">
        <x:v>CORPORATION FOR PROFIT</x:v>
      </x:c>
      <x:c r="E40" s="35" t="str">
        <x:v>08/24/1988</x:v>
      </x:c>
      <x:c r="F40" s="35" t="str">
        <x:v>Dead</x:v>
      </x:c>
      <x:c r="G40" s="35" t="str">
        <x:v>COLUMBUS</x:v>
      </x:c>
      <x:c r="H40" s="35" t="str">
        <x:v>FRANKLIN</x:v>
      </x:c>
      <x:c r="I40" s="37" t="str">
        <x:v>OHIO</x:v>
      </x:c>
    </x:row>
    <x:row r="41">
      <x:c r="A41" s="34" t="str">
        <x:v>749169</x:v>
      </x:c>
      <x:c r="B41" s="35" t="str">
        <x:v>DOROTHY SNOW</x:v>
      </x:c>
      <x:c r="C41" s="35" t="str">
        <x:v>NEW ALBANY CARDINAL ASSOCIATES, INC.</x:v>
      </x:c>
      <x:c r="D41" s="35" t="str">
        <x:v>CORPORATION FOR PROFIT</x:v>
      </x:c>
      <x:c r="E41" s="35" t="str">
        <x:v>05/15/1989</x:v>
      </x:c>
      <x:c r="F41" s="35" t="str">
        <x:v>Dead</x:v>
      </x:c>
      <x:c r="G41" s="35" t="str">
        <x:v>COLUMBUS</x:v>
      </x:c>
      <x:c r="H41" s="35" t="str">
        <x:v>FRANKLIN</x:v>
      </x:c>
      <x:c r="I41" s="37" t="str">
        <x:v>OHIO</x:v>
      </x:c>
    </x:row>
    <x:row r="42">
      <x:c r="A42" s="34" t="str">
        <x:v>720360</x:v>
      </x:c>
      <x:c r="B42" s="35" t="str">
        <x:v>DOROTHY SNOW</x:v>
      </x:c>
      <x:c r="C42" s="35" t="str">
        <x:v>FORMAN FARMS, INC.</x:v>
      </x:c>
      <x:c r="D42" s="35" t="str">
        <x:v>CORPORATION FOR PROFIT</x:v>
      </x:c>
      <x:c r="E42" s="35" t="str">
        <x:v>03/09/1988</x:v>
      </x:c>
      <x:c r="F42" s="35" t="str">
        <x:v>Dead</x:v>
      </x:c>
      <x:c r="G42" s="35" t="str">
        <x:v>COLUMBUS</x:v>
      </x:c>
      <x:c r="H42" s="35" t="str">
        <x:v>FRANKLIN</x:v>
      </x:c>
      <x:c r="I42" s="37" t="str">
        <x:v>OHIO</x:v>
      </x:c>
    </x:row>
    <x:row r="43">
      <x:c r="A43" s="34" t="str">
        <x:v>720361</x:v>
      </x:c>
      <x:c r="B43" s="35" t="str">
        <x:v>DOROTHY SNOW</x:v>
      </x:c>
      <x:c r="C43" s="35" t="str">
        <x:v>PALM PROPERTIES, INC.</x:v>
      </x:c>
      <x:c r="D43" s="35" t="str">
        <x:v>CORPORATION FOR PROFIT</x:v>
      </x:c>
      <x:c r="E43" s="35" t="str">
        <x:v>03/09/1988</x:v>
      </x:c>
      <x:c r="F43" s="35" t="str">
        <x:v>Dead</x:v>
      </x:c>
      <x:c r="G43" s="35" t="str">
        <x:v>COLUMBUS</x:v>
      </x:c>
      <x:c r="H43" s="35" t="str">
        <x:v>FRANKLIN</x:v>
      </x:c>
      <x:c r="I43" s="37" t="str">
        <x:v>OHIO</x:v>
      </x:c>
    </x:row>
    <x:row r="44">
      <x:c r="A44" s="34" t="str">
        <x:v>720362</x:v>
      </x:c>
      <x:c r="B44" s="35" t="str">
        <x:v>DOROTHY SNOW</x:v>
      </x:c>
      <x:c r="C44" s="35" t="str">
        <x:v>SAREN INVESTMENTS INCORPORATED</x:v>
      </x:c>
      <x:c r="D44" s="35" t="str">
        <x:v>CORPORATION FOR PROFIT</x:v>
      </x:c>
      <x:c r="E44" s="35" t="str">
        <x:v>03/09/1988</x:v>
      </x:c>
      <x:c r="F44" s="35" t="str">
        <x:v>Dead</x:v>
      </x:c>
      <x:c r="G44" s="35" t="str">
        <x:v>COLUMBUS</x:v>
      </x:c>
      <x:c r="H44" s="35" t="str">
        <x:v>FRANKLIN</x:v>
      </x:c>
      <x:c r="I44" s="37" t="str">
        <x:v>OHIO</x:v>
      </x:c>
    </x:row>
    <x:row r="45">
      <x:c r="A45" s="34" t="str">
        <x:v>720363</x:v>
      </x:c>
      <x:c r="B45" s="35" t="str">
        <x:v>DOROTHY SNOW</x:v>
      </x:c>
      <x:c r="C45" s="35" t="str">
        <x:v>TANDEM INVESTMENTS INCORPORATED</x:v>
      </x:c>
      <x:c r="D45" s="35" t="str">
        <x:v>CORPORATION FOR PROFIT</x:v>
      </x:c>
      <x:c r="E45" s="35" t="str">
        <x:v>03/09/1988</x:v>
      </x:c>
      <x:c r="F45" s="35" t="str">
        <x:v>Dead</x:v>
      </x:c>
      <x:c r="G45" s="35" t="str">
        <x:v>COLUMBUS</x:v>
      </x:c>
      <x:c r="H45" s="35" t="str">
        <x:v>FRANKLIN</x:v>
      </x:c>
      <x:c r="I45" s="37" t="str">
        <x:v>OHIO</x:v>
      </x:c>
    </x:row>
    <x:row r="46">
      <x:c r="A46" s="34" t="str">
        <x:v>720364</x:v>
      </x:c>
      <x:c r="B46" s="35" t="str">
        <x:v>DOROTHY SNOW</x:v>
      </x:c>
      <x:c r="C46" s="35" t="str">
        <x:v>VILLA DEVELOPMENT CORP.</x:v>
      </x:c>
      <x:c r="D46" s="35" t="str">
        <x:v>CORPORATION FOR PROFIT</x:v>
      </x:c>
      <x:c r="E46" s="35" t="str">
        <x:v>03/09/1988</x:v>
      </x:c>
      <x:c r="F46" s="35" t="str">
        <x:v>Dead</x:v>
      </x:c>
      <x:c r="G46" s="35" t="str">
        <x:v>COLUMBUS</x:v>
      </x:c>
      <x:c r="H46" s="35" t="str">
        <x:v>FRANKLIN</x:v>
      </x:c>
      <x:c r="I46" s="37" t="str">
        <x:v>OHIO</x:v>
      </x:c>
    </x:row>
    <x:row r="47">
      <x:c r="A47" s="34" t="str">
        <x:v>720365</x:v>
      </x:c>
      <x:c r="B47" s="35" t="str">
        <x:v>DOROTHY SNOW</x:v>
      </x:c>
      <x:c r="C47" s="35" t="str">
        <x:v>VILLAGE ACRES, INC.</x:v>
      </x:c>
      <x:c r="D47" s="35" t="str">
        <x:v>CORPORATION FOR PROFIT</x:v>
      </x:c>
      <x:c r="E47" s="35" t="str">
        <x:v>03/09/1988</x:v>
      </x:c>
      <x:c r="F47" s="35" t="str">
        <x:v>Dead</x:v>
      </x:c>
      <x:c r="G47" s="35" t="str">
        <x:v>COLUMBUS</x:v>
      </x:c>
      <x:c r="H47" s="35" t="str">
        <x:v>FRANKLIN</x:v>
      </x:c>
      <x:c r="I47" s="37" t="str">
        <x:v>OHIO</x:v>
      </x:c>
    </x:row>
    <x:row r="48">
      <x:c r="A48" s="34" t="str">
        <x:v>720366</x:v>
      </x:c>
      <x:c r="B48" s="35" t="str">
        <x:v>DOROTHY SNOW</x:v>
      </x:c>
      <x:c r="C48" s="35" t="str">
        <x:v>CHESSER ESTATES, INC.</x:v>
      </x:c>
      <x:c r="D48" s="35" t="str">
        <x:v>CORPORATION FOR PROFIT</x:v>
      </x:c>
      <x:c r="E48" s="35" t="str">
        <x:v>03/09/1988</x:v>
      </x:c>
      <x:c r="F48" s="35" t="str">
        <x:v>Dead</x:v>
      </x:c>
      <x:c r="G48" s="35" t="str">
        <x:v>COLUMBUS</x:v>
      </x:c>
      <x:c r="H48" s="35" t="str">
        <x:v>FRANKLIN</x:v>
      </x:c>
      <x:c r="I48" s="37" t="str">
        <x:v>OHIO</x:v>
      </x:c>
    </x:row>
    <x:row r="49">
      <x:c r="A49" s="34" t="str">
        <x:v>720489</x:v>
      </x:c>
      <x:c r="B49" s="35" t="str">
        <x:v>DOROTHY SNOW</x:v>
      </x:c>
      <x:c r="C49" s="35" t="str">
        <x:v>TIMBRE PROPERTIES, INC.</x:v>
      </x:c>
      <x:c r="D49" s="35" t="str">
        <x:v>CORPORATION FOR PROFIT</x:v>
      </x:c>
      <x:c r="E49" s="35" t="str">
        <x:v>03/09/1988</x:v>
      </x:c>
      <x:c r="F49" s="35" t="str">
        <x:v>Dead</x:v>
      </x:c>
      <x:c r="G49" s="35" t="str">
        <x:v>COLUMBUS</x:v>
      </x:c>
      <x:c r="H49" s="35" t="str">
        <x:v>FRANKLIN</x:v>
      </x:c>
      <x:c r="I49" s="37" t="str">
        <x:v>OHIO</x:v>
      </x:c>
    </x:row>
    <x:row r="50">
      <x:c r="A50" s="34" t="str">
        <x:v>777500</x:v>
      </x:c>
      <x:c r="B50" s="35" t="str">
        <x:v>DOROTHY SNOW</x:v>
      </x:c>
      <x:c r="C50" s="35" t="str">
        <x:v>WEST FIRST PLAZA, INC.</x:v>
      </x:c>
      <x:c r="D50" s="35" t="str">
        <x:v>CORPORATION FOR PROFIT</x:v>
      </x:c>
      <x:c r="E50" s="35" t="str">
        <x:v>07/20/1990</x:v>
      </x:c>
      <x:c r="F50" s="35" t="str">
        <x:v>Dead</x:v>
      </x:c>
      <x:c r="G50" s="35" t="str">
        <x:v>COLUMBUS</x:v>
      </x:c>
      <x:c r="H50" s="35" t="str">
        <x:v>FRANKLIN</x:v>
      </x:c>
      <x:c r="I50" s="37" t="str">
        <x:v>OHIO</x:v>
      </x:c>
    </x:row>
    <x:row r="51">
      <x:c r="A51" s="34" t="str">
        <x:v>785297</x:v>
      </x:c>
      <x:c r="B51" s="35" t="str">
        <x:v>DOROTHY SNOW</x:v>
      </x:c>
      <x:c r="C51" s="35" t="str">
        <x:v>FIRST COLUMBUS LAND COMPANY</x:v>
      </x:c>
      <x:c r="D51" s="35" t="str">
        <x:v>CORPORATION FOR PROFIT</x:v>
      </x:c>
      <x:c r="E51" s="35" t="str">
        <x:v>11/28/1990</x:v>
      </x:c>
      <x:c r="F51" s="35" t="str">
        <x:v>Cancelled</x:v>
      </x:c>
      <x:c r="G51" s="35" t="str">
        <x:v>COLUMBUS</x:v>
      </x:c>
      <x:c r="H51" s="35" t="str">
        <x:v>FRANKLIN</x:v>
      </x:c>
      <x:c r="I51" s="37" t="str">
        <x:v>OHIO</x:v>
      </x:c>
    </x:row>
    <x:row r="52">
      <x:c r="A52" s="34" t="str">
        <x:v>803531</x:v>
      </x:c>
      <x:c r="B52" s="35" t="str">
        <x:v>DOROTHY SNOW</x:v>
      </x:c>
      <x:c r="C52" s="35" t="str">
        <x:v>C-WREN INVESTMENT CORP.</x:v>
      </x:c>
      <x:c r="D52" s="35" t="str">
        <x:v>CORPORATION FOR PROFIT</x:v>
      </x:c>
      <x:c r="E52" s="35" t="str">
        <x:v>09/26/1991</x:v>
      </x:c>
      <x:c r="F52" s="35" t="str">
        <x:v>Dead</x:v>
      </x:c>
      <x:c r="G52" s="35" t="str">
        <x:v>COLUMBUS</x:v>
      </x:c>
      <x:c r="H52" s="35" t="str">
        <x:v>FRANKLIN</x:v>
      </x:c>
      <x:c r="I52" s="37" t="str">
        <x:v>OHIO</x:v>
      </x:c>
    </x:row>
    <x:row r="53">
      <x:c r="A53" s="34" t="str">
        <x:v>626053</x:v>
      </x:c>
      <x:c r="B53" s="35" t="str">
        <x:v>DOROTHY SNOW</x:v>
      </x:c>
      <x:c r="C53" s="35" t="str">
        <x:v>PARK PROPERTIES, INC.</x:v>
      </x:c>
      <x:c r="D53" s="35" t="str">
        <x:v>CORPORATION FOR PROFIT</x:v>
      </x:c>
      <x:c r="E53" s="35" t="str">
        <x:v>12/22/1992</x:v>
      </x:c>
      <x:c r="F53" s="35" t="str">
        <x:v>Dead</x:v>
      </x:c>
      <x:c r="G53" s="35" t="str">
        <x:v>COLUMBUS</x:v>
      </x:c>
      <x:c r="H53" s="35" t="str">
        <x:v>FRANKLIN</x:v>
      </x:c>
      <x:c r="I53" s="37" t="str">
        <x:v>OHIO</x:v>
      </x:c>
    </x:row>
    <x:row r="54">
      <x:c r="A54" s="34" t="str">
        <x:v>678033</x:v>
      </x:c>
      <x:c r="B54" s="35" t="str">
        <x:v>DOROTHY SNOW</x:v>
      </x:c>
      <x:c r="C54" s="35" t="str">
        <x:v>INN INVESTMENT CORP.</x:v>
      </x:c>
      <x:c r="D54" s="35" t="str">
        <x:v>CORPORATION FOR PROFIT</x:v>
      </x:c>
      <x:c r="E54" s="35" t="str">
        <x:v>05/21/1986</x:v>
      </x:c>
      <x:c r="F54" s="35" t="str">
        <x:v>Dead</x:v>
      </x:c>
      <x:c r="G54" s="35" t="str">
        <x:v>COLUMBUS</x:v>
      </x:c>
      <x:c r="H54" s="35" t="str">
        <x:v>FRANKLIN</x:v>
      </x:c>
      <x:c r="I54" s="37" t="str">
        <x:v>OHIO</x:v>
      </x:c>
    </x:row>
    <x:row r="55">
      <x:c r="A55" s="34" t="str">
        <x:v>679415</x:v>
      </x:c>
      <x:c r="B55" s="35" t="str">
        <x:v>DOROTHY SNOW</x:v>
      </x:c>
      <x:c r="C55" s="35" t="str">
        <x:v>MAIN-HIGH DEVELOPMENT CORP.</x:v>
      </x:c>
      <x:c r="D55" s="35" t="str">
        <x:v>CORPORATION FOR PROFIT</x:v>
      </x:c>
      <x:c r="E55" s="35" t="str">
        <x:v>06/11/1986</x:v>
      </x:c>
      <x:c r="F55" s="35" t="str">
        <x:v>Dead</x:v>
      </x:c>
      <x:c r="G55" s="35" t="str">
        <x:v>COLUMBUS</x:v>
      </x:c>
      <x:c r="H55" s="35" t="str">
        <x:v>FRANKLIN</x:v>
      </x:c>
      <x:c r="I55" s="37" t="str">
        <x:v>OHIO</x:v>
      </x:c>
    </x:row>
    <x:row r="56">
      <x:c r="A56" s="34" t="str">
        <x:v>658220</x:v>
      </x:c>
      <x:c r="B56" s="35" t="str">
        <x:v>DOROTHY SNOW</x:v>
      </x:c>
      <x:c r="C56" s="35" t="str">
        <x:v>LEWEX, INC.</x:v>
      </x:c>
      <x:c r="D56" s="35" t="str">
        <x:v>CORPORATION FOR PROFIT</x:v>
      </x:c>
      <x:c r="E56" s="35" t="str">
        <x:v>11/01/1985</x:v>
      </x:c>
      <x:c r="F56" s="35" t="str">
        <x:v>Dead</x:v>
      </x:c>
      <x:c r="G56" s="35" t="str">
        <x:v>COLUMBUS</x:v>
      </x:c>
      <x:c r="H56" s="35" t="str">
        <x:v>FRANKLIN</x:v>
      </x:c>
      <x:c r="I56" s="37" t="str">
        <x:v>OHIO</x:v>
      </x:c>
    </x:row>
    <x:row r="57">
      <x:c r="A57" s="34" t="str">
        <x:v>701784</x:v>
      </x:c>
      <x:c r="B57" s="35" t="str">
        <x:v>DOROTHY SNOW</x:v>
      </x:c>
      <x:c r="C57" s="35" t="str">
        <x:v>PETEL OF COLUMBUS CO. #1, INC.</x:v>
      </x:c>
      <x:c r="D57" s="35" t="str">
        <x:v>CORPORATION FOR PROFIT</x:v>
      </x:c>
      <x:c r="E57" s="35" t="str">
        <x:v>12/28/1988</x:v>
      </x:c>
      <x:c r="F57" s="35" t="str">
        <x:v>Dead</x:v>
      </x:c>
      <x:c r="G57" s="35" t="str">
        <x:v>COLUMBUS</x:v>
      </x:c>
      <x:c r="H57" s="35" t="str">
        <x:v>FRANKLIN</x:v>
      </x:c>
      <x:c r="I57" s="37" t="str">
        <x:v>OHIO</x:v>
      </x:c>
    </x:row>
    <x:row r="58">
      <x:c r="A58" s="34" t="str">
        <x:v>705933</x:v>
      </x:c>
      <x:c r="B58" s="35" t="str">
        <x:v>DOROTHY SNOW</x:v>
      </x:c>
      <x:c r="C58" s="35" t="str">
        <x:v>GREAT EASTERN FASTENING CORP. II</x:v>
      </x:c>
      <x:c r="D58" s="35" t="str">
        <x:v>CORPORATION FOR PROFIT</x:v>
      </x:c>
      <x:c r="E58" s="35" t="str">
        <x:v>07/30/1987</x:v>
      </x:c>
      <x:c r="F58" s="35" t="str">
        <x:v>Dead</x:v>
      </x:c>
      <x:c r="G58" s="35" t="str">
        <x:v>DUBLIN</x:v>
      </x:c>
      <x:c r="H58" s="35" t="str">
        <x:v>FRANKLIN</x:v>
      </x:c>
      <x:c r="I58" s="37" t="str">
        <x:v>OHIO</x:v>
      </x:c>
    </x:row>
    <x:row r="59">
      <x:c r="A59" s="34" t="str">
        <x:v>706250</x:v>
      </x:c>
      <x:c r="B59" s="35" t="str">
        <x:v>DOROTHY SNOW</x:v>
      </x:c>
      <x:c r="C59" s="35" t="str">
        <x:v>AUTUMN ACRES, INC.</x:v>
      </x:c>
      <x:c r="D59" s="35" t="str">
        <x:v>CORPORATION FOR PROFIT</x:v>
      </x:c>
      <x:c r="E59" s="35" t="str">
        <x:v>12/14/1987</x:v>
      </x:c>
      <x:c r="F59" s="35" t="str">
        <x:v>Dead</x:v>
      </x:c>
      <x:c r="G59" s="35" t="str">
        <x:v>COLUMBUS</x:v>
      </x:c>
      <x:c r="H59" s="35" t="str">
        <x:v>FRANKLIN</x:v>
      </x:c>
      <x:c r="I59" s="37" t="str">
        <x:v>OHIO</x:v>
      </x:c>
    </x:row>
    <x:row r="60">
      <x:c r="A60" s="34" t="str">
        <x:v>706947</x:v>
      </x:c>
      <x:c r="B60" s="35" t="str">
        <x:v>DOROTHY SNOW</x:v>
      </x:c>
      <x:c r="C60" s="35" t="str">
        <x:v>LONDON KITCHENS INSURANCE AGENCY, INC.</x:v>
      </x:c>
      <x:c r="D60" s="35" t="str">
        <x:v>CORPORATION FOR PROFIT</x:v>
      </x:c>
      <x:c r="E60" s="35" t="str">
        <x:v>08/13/1987</x:v>
      </x:c>
      <x:c r="F60" s="35" t="str">
        <x:v>Dead</x:v>
      </x:c>
      <x:c r="G60" s="35" t="str">
        <x:v>COLUMBUS</x:v>
      </x:c>
      <x:c r="H60" s="35" t="str">
        <x:v>FRANKLIN</x:v>
      </x:c>
      <x:c r="I60" s="37" t="str">
        <x:v>OHIO</x:v>
      </x:c>
    </x:row>
    <x:row r="61">
      <x:c r="A61" s="34" t="str">
        <x:v>710453</x:v>
      </x:c>
      <x:c r="B61" s="35" t="str">
        <x:v>DOROTHY SNOW</x:v>
      </x:c>
      <x:c r="C61" s="35" t="str">
        <x:v>NORTHEAST FRANKLIN COMPANY, INC.</x:v>
      </x:c>
      <x:c r="D61" s="35" t="str">
        <x:v>CORPORATION FOR PROFIT</x:v>
      </x:c>
      <x:c r="E61" s="35" t="str">
        <x:v>10/08/1987</x:v>
      </x:c>
      <x:c r="F61" s="35" t="str">
        <x:v>Dead</x:v>
      </x:c>
      <x:c r="G61" s="35" t="str">
        <x:v>COLUMBUS</x:v>
      </x:c>
      <x:c r="H61" s="35" t="str">
        <x:v>FRANKLIN</x:v>
      </x:c>
      <x:c r="I61" s="37" t="str">
        <x:v>OHIO</x:v>
      </x:c>
    </x:row>
    <x:row r="62">
      <x:c r="A62" s="34" t="str">
        <x:v>710873</x:v>
      </x:c>
      <x:c r="B62" s="35" t="str">
        <x:v>DOROTHY SNOW</x:v>
      </x:c>
      <x:c r="C62" s="35" t="str">
        <x:v>BLACKLICK PROPERTIES, INC.</x:v>
      </x:c>
      <x:c r="D62" s="35" t="str">
        <x:v>CORPORATION FOR PROFIT</x:v>
      </x:c>
      <x:c r="E62" s="35" t="str">
        <x:v>12/14/1987</x:v>
      </x:c>
      <x:c r="F62" s="35" t="str">
        <x:v>Dead</x:v>
      </x:c>
      <x:c r="G62" s="35" t="str">
        <x:v>COLUMBUS</x:v>
      </x:c>
      <x:c r="H62" s="35" t="str">
        <x:v>FRANKLIN</x:v>
      </x:c>
      <x:c r="I62" s="37" t="str">
        <x:v>OHIO</x:v>
      </x:c>
    </x:row>
    <x:row r="63">
      <x:c r="A63" s="34" t="str">
        <x:v>712264</x:v>
      </x:c>
      <x:c r="B63" s="35" t="str">
        <x:v>DOROTHY SNOW</x:v>
      </x:c>
      <x:c r="C63" s="35" t="str">
        <x:v>LEEACE INC.</x:v>
      </x:c>
      <x:c r="D63" s="35" t="str">
        <x:v>CORPORATION FOR PROFIT</x:v>
      </x:c>
      <x:c r="E63" s="35" t="str">
        <x:v>12/14/1987</x:v>
      </x:c>
      <x:c r="F63" s="35" t="str">
        <x:v>Dead</x:v>
      </x:c>
      <x:c r="G63" s="35" t="str">
        <x:v>COLUMBUS</x:v>
      </x:c>
      <x:c r="H63" s="35" t="str">
        <x:v>FRANKLIN</x:v>
      </x:c>
      <x:c r="I63" s="37" t="str">
        <x:v>OHIO</x:v>
      </x:c>
    </x:row>
    <x:row r="64">
      <x:c r="A64" s="34" t="str">
        <x:v>712296</x:v>
      </x:c>
      <x:c r="B64" s="35" t="str">
        <x:v>DOROTHY SNOW</x:v>
      </x:c>
      <x:c r="C64" s="35" t="str">
        <x:v>MORSHAM LAND CORPORATION</x:v>
      </x:c>
      <x:c r="D64" s="35" t="str">
        <x:v>CORPORATION FOR PROFIT</x:v>
      </x:c>
      <x:c r="E64" s="35" t="str">
        <x:v>12/14/1987</x:v>
      </x:c>
      <x:c r="F64" s="35" t="str">
        <x:v>Dead</x:v>
      </x:c>
      <x:c r="G64" s="35" t="str">
        <x:v>COLUMBUS</x:v>
      </x:c>
      <x:c r="H64" s="35" t="str">
        <x:v>FRANKLIN</x:v>
      </x:c>
      <x:c r="I64" s="37" t="str">
        <x:v>OHIO</x:v>
      </x:c>
    </x:row>
    <x:row r="65">
      <x:c r="A65" s="34" t="str">
        <x:v>712441</x:v>
      </x:c>
      <x:c r="B65" s="35" t="str">
        <x:v>DOROTHY SNOW</x:v>
      </x:c>
      <x:c r="C65" s="35" t="str">
        <x:v>ROCKYRIVER PROPERTIES, INC.</x:v>
      </x:c>
      <x:c r="D65" s="35" t="str">
        <x:v>CORPORATION FOR PROFIT</x:v>
      </x:c>
      <x:c r="E65" s="35" t="str">
        <x:v>12/14/1987</x:v>
      </x:c>
      <x:c r="F65" s="35" t="str">
        <x:v>Dead</x:v>
      </x:c>
      <x:c r="G65" s="35" t="str">
        <x:v>COLUMBUS</x:v>
      </x:c>
      <x:c r="H65" s="35" t="str">
        <x:v>FRANKLIN</x:v>
      </x:c>
      <x:c r="I65" s="37" t="str">
        <x:v>OHIO</x:v>
      </x:c>
    </x:row>
    <x:row r="66">
      <x:c r="A66" s="34" t="str">
        <x:v>710695</x:v>
      </x:c>
      <x:c r="B66" s="35" t="str">
        <x:v>DOROTHY SNOW</x:v>
      </x:c>
      <x:c r="C66" s="35" t="str">
        <x:v>NEW ALBANY PROPERTIES, INC.</x:v>
      </x:c>
      <x:c r="D66" s="35" t="str">
        <x:v>CORPORATION FOR PROFIT</x:v>
      </x:c>
      <x:c r="E66" s="35" t="str">
        <x:v>10/16/1987</x:v>
      </x:c>
      <x:c r="F66" s="35" t="str">
        <x:v>Dead</x:v>
      </x:c>
      <x:c r="G66" s="35" t="str">
        <x:v>COLUMBUS</x:v>
      </x:c>
      <x:c r="H66" s="35" t="str">
        <x:v>FRANKLIN</x:v>
      </x:c>
      <x:c r="I66" s="37" t="str">
        <x:v>OHIO</x:v>
      </x:c>
    </x:row>
    <x:row r="67">
      <x:c r="A67" s="34" t="str">
        <x:v>714669</x:v>
      </x:c>
      <x:c r="B67" s="35" t="str">
        <x:v>DOROTHY SNOW</x:v>
      </x:c>
      <x:c r="C67" s="35" t="str">
        <x:v>ROCKYRIDGE DEVELOPMENT CORP.</x:v>
      </x:c>
      <x:c r="D67" s="35" t="str">
        <x:v>CORPORATION FOR PROFIT</x:v>
      </x:c>
      <x:c r="E67" s="35" t="str">
        <x:v>12/22/1987</x:v>
      </x:c>
      <x:c r="F67" s="35" t="str">
        <x:v>Dead</x:v>
      </x:c>
      <x:c r="G67" s="35" t="str">
        <x:v>COLUMBUS</x:v>
      </x:c>
      <x:c r="H67" s="35" t="str">
        <x:v>FRANKLIN</x:v>
      </x:c>
      <x:c r="I67" s="37" t="str">
        <x:v>OHIO</x:v>
      </x:c>
    </x:row>
    <x:row r="68">
      <x:c r="A68" s="34" t="str">
        <x:v>714670</x:v>
      </x:c>
      <x:c r="B68" s="35" t="str">
        <x:v>DOROTHY SNOW</x:v>
      </x:c>
      <x:c r="C68" s="35" t="str">
        <x:v>BLUEBERRY RIDGE PROPERTIES, INC.</x:v>
      </x:c>
      <x:c r="D68" s="35" t="str">
        <x:v>CORPORATION FOR PROFIT</x:v>
      </x:c>
      <x:c r="E68" s="35" t="str">
        <x:v>12/22/1987</x:v>
      </x:c>
      <x:c r="F68" s="35" t="str">
        <x:v>Dead</x:v>
      </x:c>
      <x:c r="G68" s="35" t="str">
        <x:v>COLUMBUS</x:v>
      </x:c>
      <x:c r="H68" s="35" t="str">
        <x:v>FRANKLIN</x:v>
      </x:c>
      <x:c r="I68" s="37" t="str">
        <x:v>OHIO</x:v>
      </x:c>
    </x:row>
    <x:row r="69">
      <x:c r="A69" s="34" t="str">
        <x:v>714671</x:v>
      </x:c>
      <x:c r="B69" s="35" t="str">
        <x:v>DOROTHY SNOW</x:v>
      </x:c>
      <x:c r="C69" s="35" t="str">
        <x:v>TUMBLEWEED ESTATES, INC.</x:v>
      </x:c>
      <x:c r="D69" s="35" t="str">
        <x:v>CORPORATION FOR PROFIT</x:v>
      </x:c>
      <x:c r="E69" s="35" t="str">
        <x:v>12/22/1987</x:v>
      </x:c>
      <x:c r="F69" s="35" t="str">
        <x:v>Dead</x:v>
      </x:c>
      <x:c r="G69" s="35" t="str">
        <x:v>COLUMBUS</x:v>
      </x:c>
      <x:c r="H69" s="35" t="str">
        <x:v>FRANKLIN</x:v>
      </x:c>
      <x:c r="I69" s="37" t="str">
        <x:v>OHIO</x:v>
      </x:c>
    </x:row>
    <x:row r="70">
      <x:c r="A70" s="34" t="str">
        <x:v>714672</x:v>
      </x:c>
      <x:c r="B70" s="35" t="str">
        <x:v>DOROTHY SNOW</x:v>
      </x:c>
      <x:c r="C70" s="35" t="str">
        <x:v>PLATEAU ACRES INCORPORATED</x:v>
      </x:c>
      <x:c r="D70" s="35" t="str">
        <x:v>CORPORATION FOR PROFIT</x:v>
      </x:c>
      <x:c r="E70" s="35" t="str">
        <x:v>12/22/1987</x:v>
      </x:c>
      <x:c r="F70" s="35" t="str">
        <x:v>Dead</x:v>
      </x:c>
      <x:c r="G70" s="35" t="str">
        <x:v>COLUMBUS</x:v>
      </x:c>
      <x:c r="H70" s="35" t="str">
        <x:v>FRANKLIN</x:v>
      </x:c>
      <x:c r="I70" s="37" t="str">
        <x:v>OHIO</x:v>
      </x:c>
    </x:row>
    <x:row r="71">
      <x:c r="A71" s="34" t="str">
        <x:v>714673</x:v>
      </x:c>
      <x:c r="B71" s="35" t="str">
        <x:v>DOROTHY SNOW</x:v>
      </x:c>
      <x:c r="C71" s="35" t="str">
        <x:v>CEDAR CANYON PROPERTIES, INC.</x:v>
      </x:c>
      <x:c r="D71" s="35" t="str">
        <x:v>CORPORATION FOR PROFIT</x:v>
      </x:c>
      <x:c r="E71" s="35" t="str">
        <x:v>12/22/1987</x:v>
      </x:c>
      <x:c r="F71" s="35" t="str">
        <x:v>Dead</x:v>
      </x:c>
      <x:c r="G71" s="35" t="str">
        <x:v>COLUMBUS</x:v>
      </x:c>
      <x:c r="H71" s="35" t="str">
        <x:v>FRANKLIN</x:v>
      </x:c>
      <x:c r="I71" s="37" t="str">
        <x:v>OHIO</x:v>
      </x:c>
    </x:row>
    <x:row r="72">
      <x:c r="A72" s="34" t="str">
        <x:v>714674</x:v>
      </x:c>
      <x:c r="B72" s="35" t="str">
        <x:v>DOROTHY SNOW</x:v>
      </x:c>
      <x:c r="C72" s="35" t="str">
        <x:v>CHESTNUT HEIGHTS CORPORATION</x:v>
      </x:c>
      <x:c r="D72" s="35" t="str">
        <x:v>CORPORATION FOR PROFIT</x:v>
      </x:c>
      <x:c r="E72" s="35" t="str">
        <x:v>12/22/1987</x:v>
      </x:c>
      <x:c r="F72" s="35" t="str">
        <x:v>Dead</x:v>
      </x:c>
      <x:c r="G72" s="35" t="str">
        <x:v>COLUMBUS</x:v>
      </x:c>
      <x:c r="H72" s="35" t="str">
        <x:v>FRANKLIN</x:v>
      </x:c>
      <x:c r="I72" s="37" t="str">
        <x:v>OHIO</x:v>
      </x:c>
    </x:row>
    <x:row r="73">
      <x:c r="A73" s="34" t="str">
        <x:v>714675</x:v>
      </x:c>
      <x:c r="B73" s="35" t="str">
        <x:v>DOROTHY SNOW</x:v>
      </x:c>
      <x:c r="C73" s="35" t="str">
        <x:v>SPRING HARBOR PROPERTIES, INC.</x:v>
      </x:c>
      <x:c r="D73" s="35" t="str">
        <x:v>CORPORATION FOR PROFIT</x:v>
      </x:c>
      <x:c r="E73" s="35" t="str">
        <x:v>12/22/1987</x:v>
      </x:c>
      <x:c r="F73" s="35" t="str">
        <x:v>Dead</x:v>
      </x:c>
      <x:c r="G73" s="35" t="str">
        <x:v>COLUMBUS</x:v>
      </x:c>
      <x:c r="H73" s="35" t="str">
        <x:v>FRANKLIN</x:v>
      </x:c>
      <x:c r="I73" s="37" t="str">
        <x:v>OHIO</x:v>
      </x:c>
    </x:row>
    <x:row r="74">
      <x:c r="A74" s="34" t="str">
        <x:v>714676</x:v>
      </x:c>
      <x:c r="B74" s="35" t="str">
        <x:v>DOROTHY SNOW</x:v>
      </x:c>
      <x:c r="C74" s="35" t="str">
        <x:v>DEERFIELD MEADOWS, INC.</x:v>
      </x:c>
      <x:c r="D74" s="35" t="str">
        <x:v>CORPORATION FOR PROFIT</x:v>
      </x:c>
      <x:c r="E74" s="35" t="str">
        <x:v>12/22/1987</x:v>
      </x:c>
      <x:c r="F74" s="35" t="str">
        <x:v>Dead</x:v>
      </x:c>
      <x:c r="G74" s="35" t="str">
        <x:v>COLUMBUS</x:v>
      </x:c>
      <x:c r="H74" s="35" t="str">
        <x:v>FRANKLIN</x:v>
      </x:c>
      <x:c r="I74" s="37" t="str">
        <x:v>OHIO</x:v>
      </x:c>
    </x:row>
    <x:row r="75">
      <x:c r="A75" s="34" t="str">
        <x:v>686166</x:v>
      </x:c>
      <x:c r="B75" s="35" t="str">
        <x:v>DOROTHY SNOW</x:v>
      </x:c>
      <x:c r="C75" s="35" t="str">
        <x:v>ESPER, INC.</x:v>
      </x:c>
      <x:c r="D75" s="35" t="str">
        <x:v>CORPORATION FOR PROFIT</x:v>
      </x:c>
      <x:c r="E75" s="35" t="str">
        <x:v>10/02/1986</x:v>
      </x:c>
      <x:c r="F75" s="35" t="str">
        <x:v>Dead</x:v>
      </x:c>
      <x:c r="G75" s="35" t="str">
        <x:v>COLUMBUS</x:v>
      </x:c>
      <x:c r="H75" s="35" t="str">
        <x:v>FRANKLIN</x:v>
      </x:c>
      <x:c r="I75" s="37" t="str">
        <x:v>OHIO</x:v>
      </x:c>
    </x:row>
    <x:row r="76">
      <x:c r="A76" s="34" t="str">
        <x:v>689446</x:v>
      </x:c>
      <x:c r="B76" s="35" t="str">
        <x:v>DOROTHY SNOW</x:v>
      </x:c>
      <x:c r="C76" s="35" t="str">
        <x:v>GREYSTONE ACRES, INC.</x:v>
      </x:c>
      <x:c r="D76" s="35" t="str">
        <x:v>CORPORATION FOR PROFIT</x:v>
      </x:c>
      <x:c r="E76" s="35" t="str">
        <x:v>12/17/1987</x:v>
      </x:c>
      <x:c r="F76" s="35" t="str">
        <x:v>Dead</x:v>
      </x:c>
      <x:c r="G76" s="35" t="str">
        <x:v>COLUMBUS</x:v>
      </x:c>
      <x:c r="H76" s="35" t="str">
        <x:v>FRANKLIN</x:v>
      </x:c>
      <x:c r="I76" s="37" t="str">
        <x:v>OHIO</x:v>
      </x:c>
    </x:row>
    <x:row r="77">
      <x:c r="A77" s="34" t="str">
        <x:v>689454</x:v>
      </x:c>
      <x:c r="B77" s="35" t="str">
        <x:v>DOROTHY SNOW</x:v>
      </x:c>
      <x:c r="C77" s="35" t="str">
        <x:v>DAISEYLAND FARMS, INC.</x:v>
      </x:c>
      <x:c r="D77" s="35" t="str">
        <x:v>CORPORATION FOR PROFIT</x:v>
      </x:c>
      <x:c r="E77" s="35" t="str">
        <x:v>12/17/1987</x:v>
      </x:c>
      <x:c r="F77" s="35" t="str">
        <x:v>Dead</x:v>
      </x:c>
      <x:c r="G77" s="35" t="str">
        <x:v>COLUMBUS</x:v>
      </x:c>
      <x:c r="H77" s="35" t="str">
        <x:v>FRANKLIN</x:v>
      </x:c>
      <x:c r="I77" s="37" t="str">
        <x:v>OHIO</x:v>
      </x:c>
    </x:row>
    <x:row r="78">
      <x:c r="A78" s="34" t="str">
        <x:v>689666</x:v>
      </x:c>
      <x:c r="B78" s="35" t="str">
        <x:v>DOROTHY SNOW</x:v>
      </x:c>
      <x:c r="C78" s="35" t="str">
        <x:v>CENTRAL FALLS, INC.</x:v>
      </x:c>
      <x:c r="D78" s="35" t="str">
        <x:v>CORPORATION FOR PROFIT</x:v>
      </x:c>
      <x:c r="E78" s="35" t="str">
        <x:v>12/17/1987</x:v>
      </x:c>
      <x:c r="F78" s="35" t="str">
        <x:v>Dead</x:v>
      </x:c>
      <x:c r="G78" s="35" t="str">
        <x:v>COLUMBUS</x:v>
      </x:c>
      <x:c r="H78" s="35" t="str">
        <x:v>FRANKLIN</x:v>
      </x:c>
      <x:c r="I78" s="37" t="str">
        <x:v>OHIO</x:v>
      </x:c>
    </x:row>
    <x:row r="79">
      <x:c r="A79" s="34" t="str">
        <x:v>689662</x:v>
      </x:c>
      <x:c r="B79" s="35" t="str">
        <x:v>DOROTHY SNOW</x:v>
      </x:c>
      <x:c r="C79" s="35" t="str">
        <x:v>FRONTIER HILLS, INC.</x:v>
      </x:c>
      <x:c r="D79" s="35" t="str">
        <x:v>CORPORATION FOR PROFIT</x:v>
      </x:c>
      <x:c r="E79" s="35" t="str">
        <x:v>12/17/1987</x:v>
      </x:c>
      <x:c r="F79" s="35" t="str">
        <x:v>Dead</x:v>
      </x:c>
      <x:c r="G79" s="35" t="str">
        <x:v>COLUMBUS</x:v>
      </x:c>
      <x:c r="H79" s="35" t="str">
        <x:v>FRANKLIN</x:v>
      </x:c>
      <x:c r="I79" s="37" t="str">
        <x:v>OHIO</x:v>
      </x:c>
    </x:row>
    <x:row r="80">
      <x:c r="A80" s="34" t="str">
        <x:v>689663</x:v>
      </x:c>
      <x:c r="B80" s="35" t="str">
        <x:v>DOROTHY SNOW</x:v>
      </x:c>
      <x:c r="C80" s="35" t="str">
        <x:v>CARLISLE MEADOWS, INC.</x:v>
      </x:c>
      <x:c r="D80" s="35" t="str">
        <x:v>CORPORATION FOR PROFIT</x:v>
      </x:c>
      <x:c r="E80" s="35" t="str">
        <x:v>12/17/1987</x:v>
      </x:c>
      <x:c r="F80" s="35" t="str">
        <x:v>Dead</x:v>
      </x:c>
      <x:c r="G80" s="35" t="str">
        <x:v>COLUMBUS</x:v>
      </x:c>
      <x:c r="H80" s="35" t="str">
        <x:v>FRANKLIN</x:v>
      </x:c>
      <x:c r="I80" s="37" t="str">
        <x:v>OHIO</x:v>
      </x:c>
    </x:row>
    <x:row r="81">
      <x:c r="A81" s="34" t="str">
        <x:v>689664</x:v>
      </x:c>
      <x:c r="B81" s="35" t="str">
        <x:v>DOROTHY SNOW</x:v>
      </x:c>
      <x:c r="C81" s="35" t="str">
        <x:v>BREWER FARMS, INC.</x:v>
      </x:c>
      <x:c r="D81" s="35" t="str">
        <x:v>CORPORATION FOR PROFIT</x:v>
      </x:c>
      <x:c r="E81" s="35" t="str">
        <x:v>12/17/1987</x:v>
      </x:c>
      <x:c r="F81" s="35" t="str">
        <x:v>Dead</x:v>
      </x:c>
      <x:c r="G81" s="35" t="str">
        <x:v>COLUMBUS</x:v>
      </x:c>
      <x:c r="H81" s="35" t="str">
        <x:v>FRANKLIN</x:v>
      </x:c>
      <x:c r="I81" s="37" t="str">
        <x:v>OHIO</x:v>
      </x:c>
    </x:row>
    <x:row r="82">
      <x:c r="A82" s="34" t="str">
        <x:v>689665</x:v>
      </x:c>
      <x:c r="B82" s="35" t="str">
        <x:v>DOROTHY SNOW</x:v>
      </x:c>
      <x:c r="C82" s="35" t="str">
        <x:v>BEARCE HOLLOW, INC.</x:v>
      </x:c>
      <x:c r="D82" s="35" t="str">
        <x:v>CORPORATION FOR PROFIT</x:v>
      </x:c>
      <x:c r="E82" s="35" t="str">
        <x:v>12/17/1987</x:v>
      </x:c>
      <x:c r="F82" s="35" t="str">
        <x:v>Dead</x:v>
      </x:c>
      <x:c r="G82" s="35" t="str">
        <x:v>COLUMBUS</x:v>
      </x:c>
      <x:c r="H82" s="35" t="str">
        <x:v>FRANKLIN</x:v>
      </x:c>
      <x:c r="I82" s="37" t="str">
        <x:v>OHIO</x:v>
      </x:c>
    </x:row>
    <x:row r="83">
      <x:c r="A83" s="34" t="str">
        <x:v>689906</x:v>
      </x:c>
      <x:c r="B83" s="35" t="str">
        <x:v>DOROTHY SNOW</x:v>
      </x:c>
      <x:c r="C83" s="35" t="str">
        <x:v>GAHANNA TRUCKING, INC.</x:v>
      </x:c>
      <x:c r="D83" s="35" t="str">
        <x:v>CORPORATION FOR PROFIT</x:v>
      </x:c>
      <x:c r="E83" s="35" t="str">
        <x:v>12/17/1987</x:v>
      </x:c>
      <x:c r="F83" s="35" t="str">
        <x:v>Dead</x:v>
      </x:c>
      <x:c r="G83" s="35" t="str">
        <x:v>COLUMBUS</x:v>
      </x:c>
      <x:c r="H83" s="35" t="str">
        <x:v>FRANKLIN</x:v>
      </x:c>
      <x:c r="I83" s="37" t="str">
        <x:v>OHIO</x:v>
      </x:c>
    </x:row>
    <x:row r="84">
      <x:c r="A84" s="34" t="str">
        <x:v>689907</x:v>
      </x:c>
      <x:c r="B84" s="35" t="str">
        <x:v>DOROTHY SNOW</x:v>
      </x:c>
      <x:c r="C84" s="35" t="str">
        <x:v>GREAT EASTERN FASTENING CORP.</x:v>
      </x:c>
      <x:c r="D84" s="35" t="str">
        <x:v>CORPORATION FOR PROFIT</x:v>
      </x:c>
      <x:c r="E84" s="35" t="str">
        <x:v>12/17/1987</x:v>
      </x:c>
      <x:c r="F84" s="35" t="str">
        <x:v>Dead</x:v>
      </x:c>
      <x:c r="G84" s="35" t="str">
        <x:v>COLUMBUS</x:v>
      </x:c>
      <x:c r="H84" s="35" t="str">
        <x:v>FRANKLIN</x:v>
      </x:c>
      <x:c r="I84" s="37" t="str">
        <x:v>OHIO</x:v>
      </x:c>
    </x:row>
    <x:row r="85">
      <x:c r="A85" s="34" t="str">
        <x:v>689908</x:v>
      </x:c>
      <x:c r="B85" s="35" t="str">
        <x:v>DOROTHY SNOW</x:v>
      </x:c>
      <x:c r="C85" s="35" t="str">
        <x:v>EASTSIDE INDUSTRIAL, INC.</x:v>
      </x:c>
      <x:c r="D85" s="35" t="str">
        <x:v>CORPORATION FOR PROFIT</x:v>
      </x:c>
      <x:c r="E85" s="35" t="str">
        <x:v>12/17/1987</x:v>
      </x:c>
      <x:c r="F85" s="35" t="str">
        <x:v>Dead</x:v>
      </x:c>
      <x:c r="G85" s="35" t="str">
        <x:v>COLUMBUS</x:v>
      </x:c>
      <x:c r="H85" s="35" t="str">
        <x:v>FRANKLIN</x:v>
      </x:c>
      <x:c r="I85" s="37" t="str">
        <x:v>OHIO</x:v>
      </x:c>
    </x:row>
    <x:row r="86">
      <x:c r="A86" s="34" t="str">
        <x:v>693864</x:v>
      </x:c>
      <x:c r="B86" s="35" t="str">
        <x:v>DOROTHY SNOW</x:v>
      </x:c>
      <x:c r="C86" s="35" t="str">
        <x:v>THE ENCEE HOLDING CORP.</x:v>
      </x:c>
      <x:c r="D86" s="35" t="str">
        <x:v>CORPORATION FOR PROFIT</x:v>
      </x:c>
      <x:c r="E86" s="35" t="str">
        <x:v>01/28/1987</x:v>
      </x:c>
      <x:c r="F86" s="35" t="str">
        <x:v>Dead</x:v>
      </x:c>
      <x:c r="G86" s="35" t="str">
        <x:v>COLUMBUS</x:v>
      </x:c>
      <x:c r="H86" s="35" t="str">
        <x:v>FRANKLIN</x:v>
      </x:c>
      <x:c r="I86" s="37" t="str">
        <x:v>OHIO</x:v>
      </x:c>
    </x:row>
    <x:row r="87">
      <x:c r="A87" s="34" t="str">
        <x:v>733246</x:v>
      </x:c>
      <x:c r="B87" s="35" t="str">
        <x:v>DOROTHY SNOW</x:v>
      </x:c>
      <x:c r="C87" s="35" t="str">
        <x:v>CRISTAH CORPORATION</x:v>
      </x:c>
      <x:c r="D87" s="35" t="str">
        <x:v>CORPORATION FOR PROFIT</x:v>
      </x:c>
      <x:c r="E87" s="35" t="str">
        <x:v>09/23/1988</x:v>
      </x:c>
      <x:c r="F87" s="35" t="str">
        <x:v>Dead</x:v>
      </x:c>
      <x:c r="G87" s="35" t="str">
        <x:v>COLUMBUS</x:v>
      </x:c>
      <x:c r="H87" s="35" t="str">
        <x:v>FRANKLIN</x:v>
      </x:c>
      <x:c r="I87" s="37" t="str">
        <x:v>OHIO</x:v>
      </x:c>
    </x:row>
    <x:row r="88">
      <x:c r="A88" s="34" t="str">
        <x:v>733247</x:v>
      </x:c>
      <x:c r="B88" s="35" t="str">
        <x:v>DOROTHY SNOW</x:v>
      </x:c>
      <x:c r="C88" s="35" t="str">
        <x:v>RETTLIN INVESTMENT COMPANY</x:v>
      </x:c>
      <x:c r="D88" s="35" t="str">
        <x:v>CORPORATION FOR PROFIT</x:v>
      </x:c>
      <x:c r="E88" s="35" t="str">
        <x:v>09/23/1988</x:v>
      </x:c>
      <x:c r="F88" s="35" t="str">
        <x:v>Dead</x:v>
      </x:c>
      <x:c r="G88" s="35" t="str">
        <x:v>COLUMBUS</x:v>
      </x:c>
      <x:c r="H88" s="35" t="str">
        <x:v>FRANKLIN</x:v>
      </x:c>
      <x:c r="I88" s="37" t="str">
        <x:v>OHIO</x:v>
      </x:c>
    </x:row>
    <x:row r="89">
      <x:c r="A89" s="34" t="str">
        <x:v>709782</x:v>
      </x:c>
      <x:c r="B89" s="35" t="str">
        <x:v>DOROTHY SNOW</x:v>
      </x:c>
      <x:c r="C89" s="35" t="str">
        <x:v>BLACKFORD INVESTMENTS, INC.</x:v>
      </x:c>
      <x:c r="D89" s="35" t="str">
        <x:v>CORPORATION FOR PROFIT</x:v>
      </x:c>
      <x:c r="E89" s="35" t="str">
        <x:v>12/14/1987</x:v>
      </x:c>
      <x:c r="F89" s="35" t="str">
        <x:v>Dead</x:v>
      </x:c>
      <x:c r="G89" s="35" t="str">
        <x:v>COLUMBUS</x:v>
      </x:c>
      <x:c r="H89" s="35" t="str">
        <x:v>FRANKLIN</x:v>
      </x:c>
      <x:c r="I89" s="37" t="str">
        <x:v>OHIO</x:v>
      </x:c>
    </x:row>
    <x:row r="90">
      <x:c r="A90" s="34" t="str">
        <x:v>712106</x:v>
      </x:c>
      <x:c r="B90" s="35" t="str">
        <x:v>DOROTHY SNOW</x:v>
      </x:c>
      <x:c r="C90" s="35" t="str">
        <x:v>HARLEM INVESTMENT CORPORATION</x:v>
      </x:c>
      <x:c r="D90" s="35" t="str">
        <x:v>CORPORATION FOR PROFIT</x:v>
      </x:c>
      <x:c r="E90" s="35" t="str">
        <x:v>12/14/1987</x:v>
      </x:c>
      <x:c r="F90" s="35" t="str">
        <x:v>Dead</x:v>
      </x:c>
      <x:c r="G90" s="35" t="str">
        <x:v>COLUMBUS</x:v>
      </x:c>
      <x:c r="H90" s="35" t="str">
        <x:v>FRANKLIN</x:v>
      </x:c>
      <x:c r="I90" s="37" t="str">
        <x:v>OHIO</x:v>
      </x:c>
    </x:row>
    <x:row r="91">
      <x:c r="A91" s="34" t="str">
        <x:v>712170</x:v>
      </x:c>
      <x:c r="B91" s="35" t="str">
        <x:v>DOROTHY SNOW</x:v>
      </x:c>
      <x:c r="C91" s="35" t="str">
        <x:v>IVY HEARTH PROPERTIES, INC.</x:v>
      </x:c>
      <x:c r="D91" s="35" t="str">
        <x:v>CORPORATION FOR PROFIT</x:v>
      </x:c>
      <x:c r="E91" s="35" t="str">
        <x:v>12/14/1987</x:v>
      </x:c>
      <x:c r="F91" s="35" t="str">
        <x:v>Dead</x:v>
      </x:c>
      <x:c r="G91" s="35" t="str">
        <x:v>COLUMBUS</x:v>
      </x:c>
      <x:c r="H91" s="35" t="str">
        <x:v>FRANKLIN</x:v>
      </x:c>
      <x:c r="I91" s="37" t="str">
        <x:v>OHIO</x:v>
      </x:c>
    </x:row>
    <x:row r="92">
      <x:c r="A92" s="34" t="str">
        <x:v>711268</x:v>
      </x:c>
      <x:c r="B92" s="35" t="str">
        <x:v>DOROTHY SNOW</x:v>
      </x:c>
      <x:c r="C92" s="35" t="str">
        <x:v>BLENDON FARMS, INC.</x:v>
      </x:c>
      <x:c r="D92" s="35" t="str">
        <x:v>CORPORATION FOR PROFIT</x:v>
      </x:c>
      <x:c r="E92" s="35" t="str">
        <x:v>12/14/1987</x:v>
      </x:c>
      <x:c r="F92" s="35" t="str">
        <x:v>Dead</x:v>
      </x:c>
      <x:c r="G92" s="35" t="str">
        <x:v>COLUMBUS</x:v>
      </x:c>
      <x:c r="H92" s="35" t="str">
        <x:v>FRANKLIN</x:v>
      </x:c>
      <x:c r="I92" s="37" t="str">
        <x:v>OHIO</x:v>
      </x:c>
    </x:row>
    <x:row r="93">
      <x:c r="A93" s="34" t="str">
        <x:v>713838</x:v>
      </x:c>
      <x:c r="B93" s="35" t="str">
        <x:v>DOROTHY SNOW</x:v>
      </x:c>
      <x:c r="C93" s="35" t="str">
        <x:v>CANDLEBERRY COVE, INC.</x:v>
      </x:c>
      <x:c r="D93" s="35" t="str">
        <x:v>CORPORATION FOR PROFIT</x:v>
      </x:c>
      <x:c r="E93" s="35" t="str">
        <x:v>12/10/1987</x:v>
      </x:c>
      <x:c r="F93" s="35" t="str">
        <x:v>Dead</x:v>
      </x:c>
      <x:c r="G93" s="35" t="str">
        <x:v>COLUMBUS</x:v>
      </x:c>
      <x:c r="H93" s="35" t="str">
        <x:v>FRANKLIN</x:v>
      </x:c>
      <x:c r="I93" s="37" t="str">
        <x:v>OHIO</x:v>
      </x:c>
    </x:row>
    <x:row r="94">
      <x:c r="A94" s="34" t="str">
        <x:v>713839</x:v>
      </x:c>
      <x:c r="B94" s="35" t="str">
        <x:v>DOROTHY SNOW</x:v>
      </x:c>
      <x:c r="C94" s="35" t="str">
        <x:v>PLAIN DESIGNS, INCORPORATED</x:v>
      </x:c>
      <x:c r="D94" s="35" t="str">
        <x:v>CORPORATION FOR PROFIT</x:v>
      </x:c>
      <x:c r="E94" s="35" t="str">
        <x:v>12/10/1987</x:v>
      </x:c>
      <x:c r="F94" s="35" t="str">
        <x:v>Dead</x:v>
      </x:c>
      <x:c r="G94" s="35" t="str">
        <x:v>COLUMBUS</x:v>
      </x:c>
      <x:c r="H94" s="35" t="str">
        <x:v>FRANKLIN</x:v>
      </x:c>
      <x:c r="I94" s="37" t="str">
        <x:v>OHIO</x:v>
      </x:c>
    </x:row>
    <x:row r="95">
      <x:c r="A95" s="34" t="str">
        <x:v>713840</x:v>
      </x:c>
      <x:c r="B95" s="35" t="str">
        <x:v>DOROTHY SNOW</x:v>
      </x:c>
      <x:c r="C95" s="35" t="str">
        <x:v>HARECK ENTERPRISES, INC.</x:v>
      </x:c>
      <x:c r="D95" s="35" t="str">
        <x:v>CORPORATION FOR PROFIT</x:v>
      </x:c>
      <x:c r="E95" s="35" t="str">
        <x:v>12/10/1987</x:v>
      </x:c>
      <x:c r="F95" s="35" t="str">
        <x:v>Dead</x:v>
      </x:c>
      <x:c r="G95" s="35" t="str">
        <x:v>COLUMBUS</x:v>
      </x:c>
      <x:c r="H95" s="35" t="str">
        <x:v>FRANKLIN</x:v>
      </x:c>
      <x:c r="I95" s="37" t="str">
        <x:v>OHIO</x:v>
      </x:c>
    </x:row>
    <x:row r="96">
      <x:c r="A96" s="34" t="str">
        <x:v>713841</x:v>
      </x:c>
      <x:c r="B96" s="35" t="str">
        <x:v>DOROTHY SNOW</x:v>
      </x:c>
      <x:c r="C96" s="35" t="str">
        <x:v>MAPLEGROVE PROPERTIES, INC.</x:v>
      </x:c>
      <x:c r="D96" s="35" t="str">
        <x:v>CORPORATION FOR PROFIT</x:v>
      </x:c>
      <x:c r="E96" s="35" t="str">
        <x:v>12/10/1987</x:v>
      </x:c>
      <x:c r="F96" s="35" t="str">
        <x:v>Dead</x:v>
      </x:c>
      <x:c r="G96" s="35" t="str">
        <x:v>COLUMBUS</x:v>
      </x:c>
      <x:c r="H96" s="35" t="str">
        <x:v>FRANKLIN</x:v>
      </x:c>
      <x:c r="I96" s="37" t="str">
        <x:v>OHIO</x:v>
      </x:c>
    </x:row>
    <x:row r="97">
      <x:c r="A97" s="34" t="str">
        <x:v>713842</x:v>
      </x:c>
      <x:c r="B97" s="35" t="str">
        <x:v>DOROTHY SNOW</x:v>
      </x:c>
      <x:c r="C97" s="35" t="str">
        <x:v>REDWOOD STABLES, INC.</x:v>
      </x:c>
      <x:c r="D97" s="35" t="str">
        <x:v>CORPORATION FOR PROFIT</x:v>
      </x:c>
      <x:c r="E97" s="35" t="str">
        <x:v>12/10/1987</x:v>
      </x:c>
      <x:c r="F97" s="35" t="str">
        <x:v>Dead</x:v>
      </x:c>
      <x:c r="G97" s="35" t="str">
        <x:v>COLUMBUS</x:v>
      </x:c>
      <x:c r="H97" s="35" t="str">
        <x:v>FRANKLIN</x:v>
      </x:c>
      <x:c r="I97" s="37" t="str">
        <x:v>OHIO</x:v>
      </x:c>
    </x:row>
    <x:row r="98">
      <x:c r="A98" s="34" t="str">
        <x:v>713843</x:v>
      </x:c>
      <x:c r="B98" s="35" t="str">
        <x:v>DOROTHY SNOW</x:v>
      </x:c>
      <x:c r="C98" s="35" t="str">
        <x:v>BRIARPATCH FIELDS, INC.</x:v>
      </x:c>
      <x:c r="D98" s="35" t="str">
        <x:v>CORPORATION FOR PROFIT</x:v>
      </x:c>
      <x:c r="E98" s="35" t="str">
        <x:v>12/10/1987</x:v>
      </x:c>
      <x:c r="F98" s="35" t="str">
        <x:v>Dead</x:v>
      </x:c>
      <x:c r="G98" s="35" t="str">
        <x:v>COLUMBUS</x:v>
      </x:c>
      <x:c r="H98" s="35" t="str">
        <x:v>FRANKLIN</x:v>
      </x:c>
      <x:c r="I98" s="37" t="str">
        <x:v>OHIO</x:v>
      </x:c>
    </x:row>
    <x:row r="99">
      <x:c r="A99" s="34" t="str">
        <x:v>713924</x:v>
      </x:c>
      <x:c r="B99" s="35" t="str">
        <x:v>DOROTHY SNOW</x:v>
      </x:c>
      <x:c r="C99" s="35" t="str">
        <x:v>OAKFIELD ENTERPRISES, INC.</x:v>
      </x:c>
      <x:c r="D99" s="35" t="str">
        <x:v>CORPORATION FOR PROFIT</x:v>
      </x:c>
      <x:c r="E99" s="35" t="str">
        <x:v>12/11/1987</x:v>
      </x:c>
      <x:c r="F99" s="35" t="str">
        <x:v>Dead</x:v>
      </x:c>
      <x:c r="G99" s="35" t="str">
        <x:v>COLUMBUS</x:v>
      </x:c>
      <x:c r="H99" s="35" t="str">
        <x:v>FRANKLIN</x:v>
      </x:c>
      <x:c r="I99" s="37" t="str">
        <x:v>OHIO</x:v>
      </x:c>
    </x:row>
    <x:row r="100">
      <x:c r="A100" s="34" t="str">
        <x:v>713925</x:v>
      </x:c>
      <x:c r="B100" s="35" t="str">
        <x:v>DOROTHY SNOW</x:v>
      </x:c>
      <x:c r="C100" s="35" t="str">
        <x:v>SNOWBERRY HILLS, INC.</x:v>
      </x:c>
      <x:c r="D100" s="35" t="str">
        <x:v>CORPORATION FOR PROFIT</x:v>
      </x:c>
      <x:c r="E100" s="35" t="str">
        <x:v>12/07/1987</x:v>
      </x:c>
      <x:c r="F100" s="35" t="str">
        <x:v>Dead</x:v>
      </x:c>
      <x:c r="G100" s="35" t="str">
        <x:v>COLUMBUS</x:v>
      </x:c>
      <x:c r="H100" s="35" t="str">
        <x:v>FRANKLIN</x:v>
      </x:c>
      <x:c r="I100" s="37" t="str">
        <x:v>OHIO</x:v>
      </x:c>
    </x:row>
    <x:row r="101">
      <x:c r="A101" s="34" t="str">
        <x:v>713926</x:v>
      </x:c>
      <x:c r="B101" s="35" t="str">
        <x:v>DOROTHY SNOW</x:v>
      </x:c>
      <x:c r="C101" s="35" t="str">
        <x:v>WILDWOOD ACRES, INC.</x:v>
      </x:c>
      <x:c r="D101" s="35" t="str">
        <x:v>CORPORATION FOR PROFIT</x:v>
      </x:c>
      <x:c r="E101" s="35" t="str">
        <x:v>12/11/1987</x:v>
      </x:c>
      <x:c r="F101" s="35" t="str">
        <x:v>Dead</x:v>
      </x:c>
      <x:c r="G101" s="35" t="str">
        <x:v>COLUMBUS</x:v>
      </x:c>
      <x:c r="H101" s="35" t="str">
        <x:v>FRANKLIN</x:v>
      </x:c>
      <x:c r="I101" s="37" t="str">
        <x:v>OHIO</x:v>
      </x:c>
    </x:row>
    <x:row r="102">
      <x:c r="A102" s="38" t="str">
        <x:v>713548</x:v>
      </x:c>
      <x:c r="B102" s="39" t="str">
        <x:v>DOROTHY SNOW</x:v>
      </x:c>
      <x:c r="C102" s="39" t="str">
        <x:v>ARCHITONICS, INC.</x:v>
      </x:c>
      <x:c r="D102" s="39" t="str">
        <x:v>CORPORATION FOR PROFIT</x:v>
      </x:c>
      <x:c r="E102" s="39" t="str">
        <x:v>12/29/1989</x:v>
      </x:c>
      <x:c r="F102" s="39" t="str">
        <x:v>Dead</x:v>
      </x:c>
      <x:c r="G102" s="39" t="str">
        <x:v>COLUMBUS</x:v>
      </x:c>
      <x:c r="H102" s="39" t="str">
        <x:v>FRANKLIN</x:v>
      </x:c>
      <x:c r="I102" s="41" t="str">
        <x:v>OHIO</x:v>
      </x:c>
    </x:row>
  </x:sheetData>
  <x:pageMargins left="0.7" right="0.7" top="0.75" bottom="0.75" header="0.3" footer="0.3"/>
  <x:tableParts count="1">
    <x:tablePart xmlns:r="http://schemas.openxmlformats.org/officeDocument/2006/relationships" r:id="Rc5c91f90547b43f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3" hidden="0" customWidth="1"/>
    <x:col min="3" max="3" width="24" hidden="0" customWidth="1"/>
    <x:col min="4" max="4" width="15" hidden="0" customWidth="1"/>
    <x:col min="5" max="5" width="12" hidden="0" customWidth="1"/>
    <x:col min="6" max="6" width="13" hidden="0" customWidth="1"/>
    <x:col min="7" max="7" width="12" hidden="0" customWidth="1"/>
    <x:col min="8" max="8" width="15" hidden="0" customWidth="1"/>
    <x:col min="9" max="9" width="12" hidden="0" customWidth="1"/>
    <x:col min="10" max="10" width="12" hidden="0" customWidth="1"/>
    <x:col min="11" max="11" width="10" hidden="0" customWidth="1"/>
    <x:col min="12" max="12" width="28" hidden="0" customWidth="1"/>
    <x:col min="13" max="13" width="42" hidden="0" customWidth="1"/>
    <x:col min="14" max="14" width="18" hidden="0" customWidth="1"/>
    <x:col min="15" max="15" width="15" hidden="0" customWidth="1"/>
    <x:col min="16" max="16" width="14" hidden="0" customWidth="1"/>
    <x:col min="17" max="17" width="20" hidden="0" customWidth="1"/>
    <x:col min="18" max="18" width="17" hidden="0" customWidth="1"/>
    <x:col min="19" max="19" width="20" hidden="0" customWidth="1"/>
    <x:col min="20" max="20" width="16" hidden="0" customWidth="1"/>
    <x:col min="21" max="21" width="30" hidden="0" customWidth="1"/>
    <x:col min="22" max="22" width="40" hidden="0" customWidth="1"/>
    <x:col min="23" max="23" width="34" hidden="0" customWidth="1"/>
    <x:col min="24" max="24" width="40" hidden="0" customWidth="1"/>
    <x:col min="25" max="25" width="19" hidden="0" customWidth="1"/>
    <x:col min="26" max="26" width="48" hidden="0" customWidth="1"/>
    <x:col min="27" max="27" width="18" hidden="0" customWidth="1"/>
    <x:col min="28" max="28" width="20" hidden="0" customWidth="1"/>
    <x:col min="29" max="29" width="45" hidden="0" customWidth="1"/>
    <x:col min="30" max="30" width="48" hidden="0" customWidth="1"/>
  </x:cols>
  <x:sheetData>
    <x:row r="1" ht="42" customHeight="1">
      <x:c r="A1" s="12" t="str">
        <x:v>Entity #</x:v>
      </x:c>
      <x:c r="B1" s="13" t="str">
        <x:v>Business Name</x:v>
      </x:c>
      <x:c r="C1" s="13" t="str">
        <x:v>Type</x:v>
      </x:c>
      <x:c r="D1" s="13" t="str">
        <x:v>Agent Effective Date</x:v>
      </x:c>
      <x:c r="E1" s="13" t="str">
        <x:v>Agent Effective Year</x:v>
      </x:c>
      <x:c r="F1" s="13" t="str">
        <x:v>Agent Effective Month</x:v>
      </x:c>
      <x:c r="G1" s="13" t="str">
        <x:v>Exact-Date Cluster Size</x:v>
      </x:c>
      <x:c r="H1" s="13" t="str">
        <x:v>Current Export Status</x:v>
      </x:c>
      <x:c r="I1" s="13" t="str">
        <x:v>Location</x:v>
      </x:c>
      <x:c r="J1" s="13" t="str">
        <x:v>County</x:v>
      </x:c>
      <x:c r="K1" s="13" t="str">
        <x:v>State</x:v>
      </x:c>
      <x:c r="L1" s="13" t="str">
        <x:v>Name Signal</x:v>
      </x:c>
      <x:c r="M1" s="13" t="str">
        <x:v>Known Anchor / Caveat</x:v>
      </x:c>
      <x:c r="N1" s="13" t="str">
        <x:v>Review Priority</x:v>
      </x:c>
      <x:c r="O1" s="13" t="str">
        <x:v>Review Status</x:v>
      </x:c>
      <x:c r="P1" s="13" t="str">
        <x:v>Formation Date</x:v>
      </x:c>
      <x:c r="Q1" s="13" t="str">
        <x:v>Agent Appointment Filing ID</x:v>
      </x:c>
      <x:c r="R1" s="13" t="str">
        <x:v>Terminal Action</x:v>
      </x:c>
      <x:c r="S1" s="13" t="str">
        <x:v>Terminal Document ID</x:v>
      </x:c>
      <x:c r="T1" s="13" t="str">
        <x:v>Terminal / Effective Date</x:v>
      </x:c>
      <x:c r="U1" s="13" t="str">
        <x:v>Survivor / Resulting Entity</x:v>
      </x:c>
      <x:c r="V1" s="13" t="str">
        <x:v>Officers / Signers / Capacities</x:v>
      </x:c>
      <x:c r="W1" s="13" t="str">
        <x:v>Filing Addresses</x:v>
      </x:c>
      <x:c r="X1" s="13" t="str">
        <x:v>Counsel / Preparer / Return Address</x:v>
      </x:c>
      <x:c r="Y1" s="13" t="str">
        <x:v>Property Search Status</x:v>
      </x:c>
      <x:c r="Z1" s="13" t="str">
        <x:v>Property Results</x:v>
      </x:c>
      <x:c r="AA1" s="13" t="str">
        <x:v>Corpus Search Status</x:v>
      </x:c>
      <x:c r="AB1" s="13" t="str">
        <x:v>Relatedness Assessment</x:v>
      </x:c>
      <x:c r="AC1" s="13" t="str">
        <x:v>Evidence Links / IDs</x:v>
      </x:c>
      <x:c r="AD1" s="14" t="str">
        <x:v>Notes</x:v>
      </x:c>
    </x:row>
    <x:row r="2">
      <x:c r="A2" s="50" t="str">
        <x:v>658220</x:v>
      </x:c>
      <x:c r="B2" s="35" t="str">
        <x:v>LEWEX, INC.</x:v>
      </x:c>
      <x:c r="C2" s="35" t="str">
        <x:v>CORPORATION FOR PROFIT</x:v>
      </x:c>
      <x:c r="D2" s="36" t="n">
        <x:v>31352</x:v>
      </x:c>
      <x:c r="E2" s="35" t="n">
        <x:f>YEAR(D2)</x:f>
        <x:v>1985</x:v>
      </x:c>
      <x:c r="F2" s="35" t="str">
        <x:f>TEXT(D2,"yyyy-mm")</x:f>
        <x:v>1985-11</x:v>
      </x:c>
      <x:c r="G2" s="35" t="n">
        <x:f>COUNTIF($D$2:$D$102,D2)</x:f>
        <x:v>1</x:v>
      </x:c>
      <x:c r="H2" s="35" t="str">
        <x:v>Dead</x:v>
      </x:c>
      <x:c r="I2" s="35" t="str">
        <x:v>COLUMBUS</x:v>
      </x:c>
      <x:c r="J2" s="35" t="str">
        <x:v>FRANKLIN</x:v>
      </x:c>
      <x:c r="K2" s="35" t="str">
        <x:v>OHIO</x:v>
      </x:c>
      <x:c r="L2" s="35" t="str">
        <x:v>Explicit network-name lead</x:v>
      </x:c>
      <x:c r="M2" s="35" t="str"/>
      <x:c r="N2" s="35" t="str">
        <x:f>IF(M2&lt;&gt;"","1 - Anchor",IF(L2="Explicit network-name lead","1 - Network lead",IF(G2&gt;=6,"2 - Date batch","3 - Baseline")))</x:f>
        <x:v>1 - Network lead</x:v>
      </x:c>
      <x:c r="O2" s="35" t="str">
        <x:v>Not Started</x:v>
      </x:c>
      <x:c r="P2" s="36"/>
      <x:c r="Q2" s="35" t="str"/>
      <x:c r="R2" s="35" t="str">
        <x:v>Unknown</x:v>
      </x:c>
      <x:c r="S2" s="35" t="str"/>
      <x:c r="T2" s="36"/>
      <x:c r="U2" s="35" t="str"/>
      <x:c r="V2" s="35" t="str"/>
      <x:c r="W2" s="35" t="str"/>
      <x:c r="X2" s="35" t="str"/>
      <x:c r="Y2" s="35" t="str">
        <x:v>Not Started</x:v>
      </x:c>
      <x:c r="Z2" s="35" t="str"/>
      <x:c r="AA2" s="35" t="str">
        <x:v>No Exact Hit</x:v>
      </x:c>
      <x:c r="AB2" s="35" t="str">
        <x:v>Unassessed</x:v>
      </x:c>
      <x:c r="AC2" s="35" t="str"/>
      <x:c r="AD2" s="37" t="str">
        <x:v>Entity-number guardrail: local LEWEX/Parkview evidence belongs to Ohio 623762, not this Ohio 658220.</x:v>
      </x:c>
    </x:row>
    <x:row r="3">
      <x:c r="A3" s="50" t="str">
        <x:v>678033</x:v>
      </x:c>
      <x:c r="B3" s="35" t="str">
        <x:v>INN INVESTMENT CORP.</x:v>
      </x:c>
      <x:c r="C3" s="35" t="str">
        <x:v>CORPORATION FOR PROFIT</x:v>
      </x:c>
      <x:c r="D3" s="36" t="n">
        <x:v>31553</x:v>
      </x:c>
      <x:c r="E3" s="35" t="n">
        <x:f>YEAR(D3)</x:f>
        <x:v>1986</x:v>
      </x:c>
      <x:c r="F3" s="35" t="str">
        <x:f>TEXT(D3,"yyyy-mm")</x:f>
        <x:v>1986-05</x:v>
      </x:c>
      <x:c r="G3" s="35" t="n">
        <x:f>COUNTIF($D$2:$D$102,D3)</x:f>
        <x:v>1</x:v>
      </x:c>
      <x:c r="H3" s="35" t="str">
        <x:v>Dead</x:v>
      </x:c>
      <x:c r="I3" s="35" t="str">
        <x:v>COLUMBUS</x:v>
      </x:c>
      <x:c r="J3" s="35" t="str">
        <x:v>FRANKLIN</x:v>
      </x:c>
      <x:c r="K3" s="35" t="str">
        <x:v>OHIO</x:v>
      </x:c>
      <x:c r="L3" s="35" t="str">
        <x:v>Investment/holding/management name</x:v>
      </x:c>
      <x:c r="M3" s="35" t="str">
        <x:v>User reports dissolution filing names Leslie Wexner and Jeffrey Epstein; primary scan and exact capacities pending.</x:v>
      </x:c>
      <x:c r="N3" s="35" t="str">
        <x:f>IF(M3&lt;&gt;"","1 - Anchor",IF(L3="Explicit network-name lead","1 - Network lead",IF(G3&gt;=6,"2 - Date batch","3 - Baseline")))</x:f>
        <x:v>1 - Anchor</x:v>
      </x:c>
      <x:c r="O3" s="35" t="str">
        <x:v>Not Started</x:v>
      </x:c>
      <x:c r="P3" s="36"/>
      <x:c r="Q3" s="35" t="str"/>
      <x:c r="R3" s="35" t="str">
        <x:v>Unknown</x:v>
      </x:c>
      <x:c r="S3" s="35" t="str"/>
      <x:c r="T3" s="36"/>
      <x:c r="U3" s="35" t="str"/>
      <x:c r="V3" s="35" t="str"/>
      <x:c r="W3" s="35" t="str"/>
      <x:c r="X3" s="35" t="str"/>
      <x:c r="Y3" s="35" t="str">
        <x:v>Source Unavailable</x:v>
      </x:c>
      <x:c r="Z3" s="35" t="str">
        <x:v>Local normalized-property route lacks Ohio county coverage; manual county title-chain searches remain pending.</x:v>
      </x:c>
      <x:c r="AA3" s="35" t="str">
        <x:v>No Exact Hit</x:v>
      </x:c>
      <x:c r="AB3" s="35" t="str">
        <x:v>Possible</x:v>
      </x:c>
      <x:c r="AC3" s="35" t="str">
        <x:v>USER:2026-07-30:INN-INVESTMENT-DISSOLUTION</x:v>
      </x:c>
      <x:c r="AD3" s="37" t="str">
        <x:v>Exact-name local corpus/database search produced only OCR/context false positives, which were rejected.</x:v>
      </x:c>
    </x:row>
    <x:row r="4">
      <x:c r="A4" s="50" t="str">
        <x:v>679415</x:v>
      </x:c>
      <x:c r="B4" s="35" t="str">
        <x:v>MAIN-HIGH DEVELOPMENT CORP.</x:v>
      </x:c>
      <x:c r="C4" s="35" t="str">
        <x:v>CORPORATION FOR PROFIT</x:v>
      </x:c>
      <x:c r="D4" s="36" t="n">
        <x:v>31574</x:v>
      </x:c>
      <x:c r="E4" s="35" t="n">
        <x:f>YEAR(D4)</x:f>
        <x:v>1986</x:v>
      </x:c>
      <x:c r="F4" s="35" t="str">
        <x:f>TEXT(D4,"yyyy-mm")</x:f>
        <x:v>1986-06</x:v>
      </x:c>
      <x:c r="G4" s="35" t="n">
        <x:f>COUNTIF($D$2:$D$102,D4)</x:f>
        <x:v>1</x:v>
      </x:c>
      <x:c r="H4" s="35" t="str">
        <x:v>Dead</x:v>
      </x:c>
      <x:c r="I4" s="35" t="str">
        <x:v>COLUMBUS</x:v>
      </x:c>
      <x:c r="J4" s="35" t="str">
        <x:v>FRANKLIN</x:v>
      </x:c>
      <x:c r="K4" s="35" t="str">
        <x:v>OHIO</x:v>
      </x:c>
      <x:c r="L4" s="35" t="str">
        <x:v>Property-suggestive name</x:v>
      </x:c>
      <x:c r="M4" s="35" t="str"/>
      <x:c r="N4" s="35" t="str">
        <x:f>IF(M4&lt;&gt;"","1 - Anchor",IF(L4="Explicit network-name lead","1 - Network lead",IF(G4&gt;=6,"2 - Date batch","3 - Baseline")))</x:f>
        <x:v>3 - Baseline</x:v>
      </x:c>
      <x:c r="O4" s="35" t="str">
        <x:v>Not Started</x:v>
      </x:c>
      <x:c r="P4" s="36"/>
      <x:c r="Q4" s="35" t="str"/>
      <x:c r="R4" s="35" t="str">
        <x:v>Unknown</x:v>
      </x:c>
      <x:c r="S4" s="35" t="str"/>
      <x:c r="T4" s="36"/>
      <x:c r="U4" s="35" t="str"/>
      <x:c r="V4" s="35" t="str"/>
      <x:c r="W4" s="35" t="str"/>
      <x:c r="X4" s="35" t="str"/>
      <x:c r="Y4" s="35" t="str">
        <x:v>Not Started</x:v>
      </x:c>
      <x:c r="Z4" s="35" t="str"/>
      <x:c r="AA4" s="35" t="str">
        <x:v>No Exact Hit</x:v>
      </x:c>
      <x:c r="AB4" s="35" t="str">
        <x:v>Unassessed</x:v>
      </x:c>
      <x:c r="AC4" s="35" t="str"/>
      <x:c r="AD4" s="37" t="str"/>
    </x:row>
    <x:row r="5">
      <x:c r="A5" s="50" t="str">
        <x:v>686166</x:v>
      </x:c>
      <x:c r="B5" s="35" t="str">
        <x:v>ESPER, INC.</x:v>
      </x:c>
      <x:c r="C5" s="35" t="str">
        <x:v>CORPORATION FOR PROFIT</x:v>
      </x:c>
      <x:c r="D5" s="36" t="n">
        <x:v>31687</x:v>
      </x:c>
      <x:c r="E5" s="35" t="n">
        <x:f>YEAR(D5)</x:f>
        <x:v>1986</x:v>
      </x:c>
      <x:c r="F5" s="35" t="str">
        <x:f>TEXT(D5,"yyyy-mm")</x:f>
        <x:v>1986-10</x:v>
      </x:c>
      <x:c r="G5" s="35" t="n">
        <x:f>COUNTIF($D$2:$D$102,D5)</x:f>
        <x:v>1</x:v>
      </x:c>
      <x:c r="H5" s="35" t="str">
        <x:v>Dead</x:v>
      </x:c>
      <x:c r="I5" s="35" t="str">
        <x:v>COLUMBUS</x:v>
      </x:c>
      <x:c r="J5" s="35" t="str">
        <x:v>FRANKLIN</x:v>
      </x:c>
      <x:c r="K5" s="35" t="str">
        <x:v>OHIO</x:v>
      </x:c>
      <x:c r="L5" s="35" t="str">
        <x:v>Other or operating-company name</x:v>
      </x:c>
      <x:c r="M5" s="35" t="str">
        <x:v>Sunbiz P12512 exact-name foreign corporation: Ohio formation; 41 S. High St., Suite 3710; Harold L. Levin listed as PTD.</x:v>
      </x:c>
      <x:c r="N5" s="35" t="str">
        <x:f>IF(M5&lt;&gt;"","1 - Anchor",IF(L5="Explicit network-name lead","1 - Network lead",IF(G5&gt;=6,"2 - Date batch","3 - Baseline")))</x:f>
        <x:v>1 - Anchor</x:v>
      </x:c>
      <x:c r="O5" s="35" t="str">
        <x:v>Not Started</x:v>
      </x:c>
      <x:c r="P5" s="36"/>
      <x:c r="Q5" s="35" t="str"/>
      <x:c r="R5" s="35" t="str">
        <x:v>Unknown</x:v>
      </x:c>
      <x:c r="S5" s="35" t="str"/>
      <x:c r="T5" s="36"/>
      <x:c r="U5" s="35" t="str"/>
      <x:c r="V5" s="35" t="str"/>
      <x:c r="W5" s="35" t="str"/>
      <x:c r="X5" s="35" t="str"/>
      <x:c r="Y5" s="35" t="str">
        <x:v>Not Started</x:v>
      </x:c>
      <x:c r="Z5" s="35" t="str"/>
      <x:c r="AA5" s="35" t="str">
        <x:v>Hit</x:v>
      </x:c>
      <x:c r="AB5" s="35" t="str">
        <x:v>Possible</x:v>
      </x:c>
      <x:c r="AC5" s="35" t="str">
        <x:v>SUNBIZ:P12512; registry.db:3139442; FINDING:14540; OH-SOS:623762:F778_1849</x:v>
      </x:c>
      <x:c r="AD5" s="37" t="str">
        <x:v>Strong cross-registry identity match and Parkview/LEWEX address-officer overlap; confirm the Ohio file before importing roles.</x:v>
      </x:c>
    </x:row>
    <x:row r="6">
      <x:c r="A6" s="50" t="str">
        <x:v>686610</x:v>
      </x:c>
      <x:c r="B6" s="35" t="str">
        <x:v>LONDON KITCHENS, INC.</x:v>
      </x:c>
      <x:c r="C6" s="35" t="str">
        <x:v>CORPORATION FOR PROFIT</x:v>
      </x:c>
      <x:c r="D6" s="36" t="n">
        <x:v>31694</x:v>
      </x:c>
      <x:c r="E6" s="35" t="n">
        <x:f>YEAR(D6)</x:f>
        <x:v>1986</x:v>
      </x:c>
      <x:c r="F6" s="35" t="str">
        <x:f>TEXT(D6,"yyyy-mm")</x:f>
        <x:v>1986-10</x:v>
      </x:c>
      <x:c r="G6" s="35" t="n">
        <x:f>COUNTIF($D$2:$D$102,D6)</x:f>
        <x:v>1</x:v>
      </x:c>
      <x:c r="H6" s="35" t="str">
        <x:v>Cancelled</x:v>
      </x:c>
      <x:c r="I6" s="35" t="str">
        <x:v>COLUMBUS</x:v>
      </x:c>
      <x:c r="J6" s="35" t="str">
        <x:v>FRANKLIN</x:v>
      </x:c>
      <x:c r="K6" s="35" t="str">
        <x:v>OHIO</x:v>
      </x:c>
      <x:c r="L6" s="35" t="str">
        <x:v>Other or operating-company name</x:v>
      </x:c>
      <x:c r="M6" s="35" t="str"/>
      <x:c r="N6" s="35" t="str">
        <x:f>IF(M6&lt;&gt;"","1 - Anchor",IF(L6="Explicit network-name lead","1 - Network lead",IF(G6&gt;=6,"2 - Date batch","3 - Baseline")))</x:f>
        <x:v>3 - Baseline</x:v>
      </x:c>
      <x:c r="O6" s="35" t="str">
        <x:v>Not Started</x:v>
      </x:c>
      <x:c r="P6" s="36"/>
      <x:c r="Q6" s="35" t="str"/>
      <x:c r="R6" s="35" t="str">
        <x:v>Unknown</x:v>
      </x:c>
      <x:c r="S6" s="35" t="str"/>
      <x:c r="T6" s="36"/>
      <x:c r="U6" s="35" t="str"/>
      <x:c r="V6" s="35" t="str"/>
      <x:c r="W6" s="35" t="str"/>
      <x:c r="X6" s="35" t="str"/>
      <x:c r="Y6" s="35" t="str">
        <x:v>Not Started</x:v>
      </x:c>
      <x:c r="Z6" s="35" t="str"/>
      <x:c r="AA6" s="35" t="str">
        <x:v>No Exact Hit</x:v>
      </x:c>
      <x:c r="AB6" s="35" t="str">
        <x:v>Unassessed</x:v>
      </x:c>
      <x:c r="AC6" s="35" t="str"/>
      <x:c r="AD6" s="37" t="str"/>
    </x:row>
    <x:row r="7">
      <x:c r="A7" s="50" t="str">
        <x:v>693864</x:v>
      </x:c>
      <x:c r="B7" s="35" t="str">
        <x:v>THE ENCEE HOLDING CORP.</x:v>
      </x:c>
      <x:c r="C7" s="35" t="str">
        <x:v>CORPORATION FOR PROFIT</x:v>
      </x:c>
      <x:c r="D7" s="36" t="n">
        <x:v>31805</x:v>
      </x:c>
      <x:c r="E7" s="35" t="n">
        <x:f>YEAR(D7)</x:f>
        <x:v>1987</x:v>
      </x:c>
      <x:c r="F7" s="35" t="str">
        <x:f>TEXT(D7,"yyyy-mm")</x:f>
        <x:v>1987-01</x:v>
      </x:c>
      <x:c r="G7" s="35" t="n">
        <x:f>COUNTIF($D$2:$D$102,D7)</x:f>
        <x:v>1</x:v>
      </x:c>
      <x:c r="H7" s="35" t="str">
        <x:v>Dead</x:v>
      </x:c>
      <x:c r="I7" s="35" t="str">
        <x:v>COLUMBUS</x:v>
      </x:c>
      <x:c r="J7" s="35" t="str">
        <x:v>FRANKLIN</x:v>
      </x:c>
      <x:c r="K7" s="35" t="str">
        <x:v>OHIO</x:v>
      </x:c>
      <x:c r="L7" s="35" t="str">
        <x:v>Investment/holding/management name</x:v>
      </x:c>
      <x:c r="M7" s="35" t="str"/>
      <x:c r="N7" s="35" t="str">
        <x:f>IF(M7&lt;&gt;"","1 - Anchor",IF(L7="Explicit network-name lead","1 - Network lead",IF(G7&gt;=6,"2 - Date batch","3 - Baseline")))</x:f>
        <x:v>3 - Baseline</x:v>
      </x:c>
      <x:c r="O7" s="35" t="str">
        <x:v>Not Started</x:v>
      </x:c>
      <x:c r="P7" s="36"/>
      <x:c r="Q7" s="35" t="str"/>
      <x:c r="R7" s="35" t="str">
        <x:v>Unknown</x:v>
      </x:c>
      <x:c r="S7" s="35" t="str"/>
      <x:c r="T7" s="36"/>
      <x:c r="U7" s="35" t="str"/>
      <x:c r="V7" s="35" t="str"/>
      <x:c r="W7" s="35" t="str"/>
      <x:c r="X7" s="35" t="str"/>
      <x:c r="Y7" s="35" t="str">
        <x:v>Not Started</x:v>
      </x:c>
      <x:c r="Z7" s="35" t="str"/>
      <x:c r="AA7" s="35" t="str">
        <x:v>No Exact Hit</x:v>
      </x:c>
      <x:c r="AB7" s="35" t="str">
        <x:v>Unassessed</x:v>
      </x:c>
      <x:c r="AC7" s="35" t="str"/>
      <x:c r="AD7" s="37" t="str"/>
    </x:row>
    <x:row r="8">
      <x:c r="A8" s="50" t="str">
        <x:v>695020</x:v>
      </x:c>
      <x:c r="B8" s="35" t="str">
        <x:v>NELC, INC.</x:v>
      </x:c>
      <x:c r="C8" s="35" t="str">
        <x:v>CORPORATION FOR PROFIT</x:v>
      </x:c>
      <x:c r="D8" s="36" t="n">
        <x:v>31826</x:v>
      </x:c>
      <x:c r="E8" s="35" t="n">
        <x:f>YEAR(D8)</x:f>
        <x:v>1987</x:v>
      </x:c>
      <x:c r="F8" s="35" t="str">
        <x:f>TEXT(D8,"yyyy-mm")</x:f>
        <x:v>1987-02</x:v>
      </x:c>
      <x:c r="G8" s="35" t="n">
        <x:f>COUNTIF($D$2:$D$102,D8)</x:f>
        <x:v>1</x:v>
      </x:c>
      <x:c r="H8" s="35" t="str">
        <x:v>Dead</x:v>
      </x:c>
      <x:c r="I8" s="35" t="str">
        <x:v>COLUMBUS</x:v>
      </x:c>
      <x:c r="J8" s="35" t="str">
        <x:v>FRANKLIN</x:v>
      </x:c>
      <x:c r="K8" s="35" t="str">
        <x:v>OHIO</x:v>
      </x:c>
      <x:c r="L8" s="35" t="str">
        <x:v>Other or operating-company name</x:v>
      </x:c>
      <x:c r="M8" s="35" t="str"/>
      <x:c r="N8" s="35" t="str">
        <x:f>IF(M8&lt;&gt;"","1 - Anchor",IF(L8="Explicit network-name lead","1 - Network lead",IF(G8&gt;=6,"2 - Date batch","3 - Baseline")))</x:f>
        <x:v>3 - Baseline</x:v>
      </x:c>
      <x:c r="O8" s="35" t="str">
        <x:v>Not Started</x:v>
      </x:c>
      <x:c r="P8" s="36"/>
      <x:c r="Q8" s="35" t="str"/>
      <x:c r="R8" s="35" t="str">
        <x:v>Unknown</x:v>
      </x:c>
      <x:c r="S8" s="35" t="str"/>
      <x:c r="T8" s="36"/>
      <x:c r="U8" s="35" t="str"/>
      <x:c r="V8" s="35" t="str"/>
      <x:c r="W8" s="35" t="str"/>
      <x:c r="X8" s="35" t="str"/>
      <x:c r="Y8" s="35" t="str">
        <x:v>Not Started</x:v>
      </x:c>
      <x:c r="Z8" s="35" t="str"/>
      <x:c r="AA8" s="35" t="str">
        <x:v>No Exact Hit</x:v>
      </x:c>
      <x:c r="AB8" s="35" t="str">
        <x:v>Unassessed</x:v>
      </x:c>
      <x:c r="AC8" s="35" t="str"/>
      <x:c r="AD8" s="37" t="str"/>
    </x:row>
    <x:row r="9">
      <x:c r="A9" s="50" t="str">
        <x:v>705933</x:v>
      </x:c>
      <x:c r="B9" s="35" t="str">
        <x:v>GREAT EASTERN FASTENING CORP. II</x:v>
      </x:c>
      <x:c r="C9" s="35" t="str">
        <x:v>CORPORATION FOR PROFIT</x:v>
      </x:c>
      <x:c r="D9" s="36" t="n">
        <x:v>31988</x:v>
      </x:c>
      <x:c r="E9" s="35" t="n">
        <x:f>YEAR(D9)</x:f>
        <x:v>1987</x:v>
      </x:c>
      <x:c r="F9" s="35" t="str">
        <x:f>TEXT(D9,"yyyy-mm")</x:f>
        <x:v>1987-07</x:v>
      </x:c>
      <x:c r="G9" s="35" t="n">
        <x:f>COUNTIF($D$2:$D$102,D9)</x:f>
        <x:v>1</x:v>
      </x:c>
      <x:c r="H9" s="35" t="str">
        <x:v>Dead</x:v>
      </x:c>
      <x:c r="I9" s="35" t="str">
        <x:v>DUBLIN</x:v>
      </x:c>
      <x:c r="J9" s="35" t="str">
        <x:v>FRANKLIN</x:v>
      </x:c>
      <x:c r="K9" s="35" t="str">
        <x:v>OHIO</x:v>
      </x:c>
      <x:c r="L9" s="35" t="str">
        <x:v>Other or operating-company name</x:v>
      </x:c>
      <x:c r="M9" s="35" t="str"/>
      <x:c r="N9" s="35" t="str">
        <x:f>IF(M9&lt;&gt;"","1 - Anchor",IF(L9="Explicit network-name lead","1 - Network lead",IF(G9&gt;=6,"2 - Date batch","3 - Baseline")))</x:f>
        <x:v>3 - Baseline</x:v>
      </x:c>
      <x:c r="O9" s="35" t="str">
        <x:v>Not Started</x:v>
      </x:c>
      <x:c r="P9" s="36"/>
      <x:c r="Q9" s="35" t="str"/>
      <x:c r="R9" s="35" t="str">
        <x:v>Unknown</x:v>
      </x:c>
      <x:c r="S9" s="35" t="str"/>
      <x:c r="T9" s="36"/>
      <x:c r="U9" s="35" t="str"/>
      <x:c r="V9" s="35" t="str"/>
      <x:c r="W9" s="35" t="str"/>
      <x:c r="X9" s="35" t="str"/>
      <x:c r="Y9" s="35" t="str">
        <x:v>Not Started</x:v>
      </x:c>
      <x:c r="Z9" s="35" t="str"/>
      <x:c r="AA9" s="35" t="str">
        <x:v>No Exact Hit</x:v>
      </x:c>
      <x:c r="AB9" s="35" t="str">
        <x:v>Unassessed</x:v>
      </x:c>
      <x:c r="AC9" s="35" t="str"/>
      <x:c r="AD9" s="37" t="str"/>
    </x:row>
    <x:row r="10">
      <x:c r="A10" s="50" t="str">
        <x:v>706947</x:v>
      </x:c>
      <x:c r="B10" s="35" t="str">
        <x:v>LONDON KITCHENS INSURANCE AGENCY, INC.</x:v>
      </x:c>
      <x:c r="C10" s="35" t="str">
        <x:v>CORPORATION FOR PROFIT</x:v>
      </x:c>
      <x:c r="D10" s="36" t="n">
        <x:v>32002</x:v>
      </x:c>
      <x:c r="E10" s="35" t="n">
        <x:f>YEAR(D10)</x:f>
        <x:v>1987</x:v>
      </x:c>
      <x:c r="F10" s="35" t="str">
        <x:f>TEXT(D10,"yyyy-mm")</x:f>
        <x:v>1987-08</x:v>
      </x:c>
      <x:c r="G10" s="35" t="n">
        <x:f>COUNTIF($D$2:$D$102,D10)</x:f>
        <x:v>1</x:v>
      </x:c>
      <x:c r="H10" s="35" t="str">
        <x:v>Dead</x:v>
      </x:c>
      <x:c r="I10" s="35" t="str">
        <x:v>COLUMBUS</x:v>
      </x:c>
      <x:c r="J10" s="35" t="str">
        <x:v>FRANKLIN</x:v>
      </x:c>
      <x:c r="K10" s="35" t="str">
        <x:v>OHIO</x:v>
      </x:c>
      <x:c r="L10" s="35" t="str">
        <x:v>Other or operating-company name</x:v>
      </x:c>
      <x:c r="M10" s="35" t="str"/>
      <x:c r="N10" s="35" t="str">
        <x:f>IF(M10&lt;&gt;"","1 - Anchor",IF(L10="Explicit network-name lead","1 - Network lead",IF(G10&gt;=6,"2 - Date batch","3 - Baseline")))</x:f>
        <x:v>3 - Baseline</x:v>
      </x:c>
      <x:c r="O10" s="35" t="str">
        <x:v>Not Started</x:v>
      </x:c>
      <x:c r="P10" s="36"/>
      <x:c r="Q10" s="35" t="str"/>
      <x:c r="R10" s="35" t="str">
        <x:v>Unknown</x:v>
      </x:c>
      <x:c r="S10" s="35" t="str"/>
      <x:c r="T10" s="36"/>
      <x:c r="U10" s="35" t="str"/>
      <x:c r="V10" s="35" t="str"/>
      <x:c r="W10" s="35" t="str"/>
      <x:c r="X10" s="35" t="str"/>
      <x:c r="Y10" s="35" t="str">
        <x:v>Not Started</x:v>
      </x:c>
      <x:c r="Z10" s="35" t="str"/>
      <x:c r="AA10" s="35" t="str">
        <x:v>No Exact Hit</x:v>
      </x:c>
      <x:c r="AB10" s="35" t="str">
        <x:v>Unassessed</x:v>
      </x:c>
      <x:c r="AC10" s="35" t="str"/>
      <x:c r="AD10" s="37" t="str"/>
    </x:row>
    <x:row r="11">
      <x:c r="A11" s="50" t="str">
        <x:v>710453</x:v>
      </x:c>
      <x:c r="B11" s="35" t="str">
        <x:v>NORTHEAST FRANKLIN COMPANY, INC.</x:v>
      </x:c>
      <x:c r="C11" s="35" t="str">
        <x:v>CORPORATION FOR PROFIT</x:v>
      </x:c>
      <x:c r="D11" s="36" t="n">
        <x:v>32058</x:v>
      </x:c>
      <x:c r="E11" s="35" t="n">
        <x:f>YEAR(D11)</x:f>
        <x:v>1987</x:v>
      </x:c>
      <x:c r="F11" s="35" t="str">
        <x:f>TEXT(D11,"yyyy-mm")</x:f>
        <x:v>1987-10</x:v>
      </x:c>
      <x:c r="G11" s="35" t="n">
        <x:f>COUNTIF($D$2:$D$102,D11)</x:f>
        <x:v>1</x:v>
      </x:c>
      <x:c r="H11" s="35" t="str">
        <x:v>Dead</x:v>
      </x:c>
      <x:c r="I11" s="35" t="str">
        <x:v>COLUMBUS</x:v>
      </x:c>
      <x:c r="J11" s="35" t="str">
        <x:v>FRANKLIN</x:v>
      </x:c>
      <x:c r="K11" s="35" t="str">
        <x:v>OHIO</x:v>
      </x:c>
      <x:c r="L11" s="35" t="str">
        <x:v>Explicit network-name lead</x:v>
      </x:c>
      <x:c r="M11" s="35" t="str"/>
      <x:c r="N11" s="35" t="str">
        <x:f>IF(M11&lt;&gt;"","1 - Anchor",IF(L11="Explicit network-name lead","1 - Network lead",IF(G11&gt;=6,"2 - Date batch","3 - Baseline")))</x:f>
        <x:v>1 - Network lead</x:v>
      </x:c>
      <x:c r="O11" s="35" t="str">
        <x:v>Not Started</x:v>
      </x:c>
      <x:c r="P11" s="36"/>
      <x:c r="Q11" s="35" t="str"/>
      <x:c r="R11" s="35" t="str">
        <x:v>Unknown</x:v>
      </x:c>
      <x:c r="S11" s="35" t="str"/>
      <x:c r="T11" s="36"/>
      <x:c r="U11" s="35" t="str"/>
      <x:c r="V11" s="35" t="str"/>
      <x:c r="W11" s="35" t="str"/>
      <x:c r="X11" s="35" t="str"/>
      <x:c r="Y11" s="35" t="str">
        <x:v>Not Started</x:v>
      </x:c>
      <x:c r="Z11" s="35" t="str"/>
      <x:c r="AA11" s="35" t="str">
        <x:v>No Exact Hit</x:v>
      </x:c>
      <x:c r="AB11" s="35" t="str">
        <x:v>Unassessed</x:v>
      </x:c>
      <x:c r="AC11" s="35" t="str"/>
      <x:c r="AD11" s="37" t="str"/>
    </x:row>
    <x:row r="12">
      <x:c r="A12" s="50" t="str">
        <x:v>710695</x:v>
      </x:c>
      <x:c r="B12" s="35" t="str">
        <x:v>NEW ALBANY PROPERTIES, INC.</x:v>
      </x:c>
      <x:c r="C12" s="35" t="str">
        <x:v>CORPORATION FOR PROFIT</x:v>
      </x:c>
      <x:c r="D12" s="36" t="n">
        <x:v>32066</x:v>
      </x:c>
      <x:c r="E12" s="35" t="n">
        <x:f>YEAR(D12)</x:f>
        <x:v>1987</x:v>
      </x:c>
      <x:c r="F12" s="35" t="str">
        <x:f>TEXT(D12,"yyyy-mm")</x:f>
        <x:v>1987-10</x:v>
      </x:c>
      <x:c r="G12" s="35" t="n">
        <x:f>COUNTIF($D$2:$D$102,D12)</x:f>
        <x:v>1</x:v>
      </x:c>
      <x:c r="H12" s="35" t="str">
        <x:v>Dead</x:v>
      </x:c>
      <x:c r="I12" s="35" t="str">
        <x:v>COLUMBUS</x:v>
      </x:c>
      <x:c r="J12" s="35" t="str">
        <x:v>FRANKLIN</x:v>
      </x:c>
      <x:c r="K12" s="35" t="str">
        <x:v>OHIO</x:v>
      </x:c>
      <x:c r="L12" s="35" t="str">
        <x:v>Explicit network-name lead</x:v>
      </x:c>
      <x:c r="M12" s="35" t="str"/>
      <x:c r="N12" s="35" t="str">
        <x:f>IF(M12&lt;&gt;"","1 - Anchor",IF(L12="Explicit network-name lead","1 - Network lead",IF(G12&gt;=6,"2 - Date batch","3 - Baseline")))</x:f>
        <x:v>1 - Network lead</x:v>
      </x:c>
      <x:c r="O12" s="35" t="str">
        <x:v>Not Started</x:v>
      </x:c>
      <x:c r="P12" s="36"/>
      <x:c r="Q12" s="35" t="str"/>
      <x:c r="R12" s="35" t="str">
        <x:v>Unknown</x:v>
      </x:c>
      <x:c r="S12" s="35" t="str"/>
      <x:c r="T12" s="36"/>
      <x:c r="U12" s="35" t="str"/>
      <x:c r="V12" s="35" t="str"/>
      <x:c r="W12" s="35" t="str"/>
      <x:c r="X12" s="35" t="str"/>
      <x:c r="Y12" s="35" t="str">
        <x:v>Not Started</x:v>
      </x:c>
      <x:c r="Z12" s="35" t="str"/>
      <x:c r="AA12" s="35" t="str">
        <x:v>No Exact Hit</x:v>
      </x:c>
      <x:c r="AB12" s="35" t="str">
        <x:v>Unassessed</x:v>
      </x:c>
      <x:c r="AC12" s="35" t="str"/>
      <x:c r="AD12" s="37" t="str"/>
    </x:row>
    <x:row r="13">
      <x:c r="A13" s="50" t="str">
        <x:v>713925</x:v>
      </x:c>
      <x:c r="B13" s="35" t="str">
        <x:v>SNOWBERRY HILLS, INC.</x:v>
      </x:c>
      <x:c r="C13" s="35" t="str">
        <x:v>CORPORATION FOR PROFIT</x:v>
      </x:c>
      <x:c r="D13" s="36" t="n">
        <x:v>32118</x:v>
      </x:c>
      <x:c r="E13" s="35" t="n">
        <x:f>YEAR(D13)</x:f>
        <x:v>1987</x:v>
      </x:c>
      <x:c r="F13" s="35" t="str">
        <x:f>TEXT(D13,"yyyy-mm")</x:f>
        <x:v>1987-12</x:v>
      </x:c>
      <x:c r="G13" s="35" t="n">
        <x:f>COUNTIF($D$2:$D$102,D13)</x:f>
        <x:v>1</x:v>
      </x:c>
      <x:c r="H13" s="35" t="str">
        <x:v>Dead</x:v>
      </x:c>
      <x:c r="I13" s="35" t="str">
        <x:v>COLUMBUS</x:v>
      </x:c>
      <x:c r="J13" s="35" t="str">
        <x:v>FRANKLIN</x:v>
      </x:c>
      <x:c r="K13" s="35" t="str">
        <x:v>OHIO</x:v>
      </x:c>
      <x:c r="L13" s="35" t="str">
        <x:v>Property-suggestive name</x:v>
      </x:c>
      <x:c r="M13" s="35" t="str"/>
      <x:c r="N13" s="35" t="str">
        <x:f>IF(M13&lt;&gt;"","1 - Anchor",IF(L13="Explicit network-name lead","1 - Network lead",IF(G13&gt;=6,"2 - Date batch","3 - Baseline")))</x:f>
        <x:v>3 - Baseline</x:v>
      </x:c>
      <x:c r="O13" s="35" t="str">
        <x:v>Not Started</x:v>
      </x:c>
      <x:c r="P13" s="36"/>
      <x:c r="Q13" s="35" t="str"/>
      <x:c r="R13" s="35" t="str">
        <x:v>Unknown</x:v>
      </x:c>
      <x:c r="S13" s="35" t="str"/>
      <x:c r="T13" s="36"/>
      <x:c r="U13" s="35" t="str"/>
      <x:c r="V13" s="35" t="str"/>
      <x:c r="W13" s="35" t="str"/>
      <x:c r="X13" s="35" t="str"/>
      <x:c r="Y13" s="35" t="str">
        <x:v>Not Started</x:v>
      </x:c>
      <x:c r="Z13" s="35" t="str"/>
      <x:c r="AA13" s="35" t="str">
        <x:v>No Exact Hit</x:v>
      </x:c>
      <x:c r="AB13" s="35" t="str">
        <x:v>Unassessed</x:v>
      </x:c>
      <x:c r="AC13" s="35" t="str"/>
      <x:c r="AD13" s="37" t="str"/>
    </x:row>
    <x:row r="14">
      <x:c r="A14" s="50" t="str">
        <x:v>713843</x:v>
      </x:c>
      <x:c r="B14" s="35" t="str">
        <x:v>BRIARPATCH FIELDS, INC.</x:v>
      </x:c>
      <x:c r="C14" s="35" t="str">
        <x:v>CORPORATION FOR PROFIT</x:v>
      </x:c>
      <x:c r="D14" s="36" t="n">
        <x:v>32121</x:v>
      </x:c>
      <x:c r="E14" s="35" t="n">
        <x:f>YEAR(D14)</x:f>
        <x:v>1987</x:v>
      </x:c>
      <x:c r="F14" s="35" t="str">
        <x:f>TEXT(D14,"yyyy-mm")</x:f>
        <x:v>1987-12</x:v>
      </x:c>
      <x:c r="G14" s="35" t="n">
        <x:f>COUNTIF($D$2:$D$102,D14)</x:f>
        <x:v>6</x:v>
      </x:c>
      <x:c r="H14" s="35" t="str">
        <x:v>Dead</x:v>
      </x:c>
      <x:c r="I14" s="35" t="str">
        <x:v>COLUMBUS</x:v>
      </x:c>
      <x:c r="J14" s="35" t="str">
        <x:v>FRANKLIN</x:v>
      </x:c>
      <x:c r="K14" s="35" t="str">
        <x:v>OHIO</x:v>
      </x:c>
      <x:c r="L14" s="35" t="str">
        <x:v>Property-suggestive name</x:v>
      </x:c>
      <x:c r="M14" s="35" t="str"/>
      <x:c r="N14" s="35" t="str">
        <x:f>IF(M14&lt;&gt;"","1 - Anchor",IF(L14="Explicit network-name lead","1 - Network lead",IF(G14&gt;=6,"2 - Date batch","3 - Baseline")))</x:f>
        <x:v>2 - Date batch</x:v>
      </x:c>
      <x:c r="O14" s="35" t="str">
        <x:v>Not Started</x:v>
      </x:c>
      <x:c r="P14" s="36"/>
      <x:c r="Q14" s="35" t="str"/>
      <x:c r="R14" s="35" t="str">
        <x:v>Unknown</x:v>
      </x:c>
      <x:c r="S14" s="35" t="str"/>
      <x:c r="T14" s="36"/>
      <x:c r="U14" s="35" t="str"/>
      <x:c r="V14" s="35" t="str"/>
      <x:c r="W14" s="35" t="str"/>
      <x:c r="X14" s="35" t="str"/>
      <x:c r="Y14" s="35" t="str">
        <x:v>Not Started</x:v>
      </x:c>
      <x:c r="Z14" s="35" t="str"/>
      <x:c r="AA14" s="35" t="str">
        <x:v>No Exact Hit</x:v>
      </x:c>
      <x:c r="AB14" s="35" t="str">
        <x:v>Unassessed</x:v>
      </x:c>
      <x:c r="AC14" s="35" t="str"/>
      <x:c r="AD14" s="37" t="str"/>
    </x:row>
    <x:row r="15">
      <x:c r="A15" s="50" t="str">
        <x:v>713838</x:v>
      </x:c>
      <x:c r="B15" s="35" t="str">
        <x:v>CANDLEBERRY COVE, INC.</x:v>
      </x:c>
      <x:c r="C15" s="35" t="str">
        <x:v>CORPORATION FOR PROFIT</x:v>
      </x:c>
      <x:c r="D15" s="36" t="n">
        <x:v>32121</x:v>
      </x:c>
      <x:c r="E15" s="35" t="n">
        <x:f>YEAR(D15)</x:f>
        <x:v>1987</x:v>
      </x:c>
      <x:c r="F15" s="35" t="str">
        <x:f>TEXT(D15,"yyyy-mm")</x:f>
        <x:v>1987-12</x:v>
      </x:c>
      <x:c r="G15" s="35" t="n">
        <x:f>COUNTIF($D$2:$D$102,D15)</x:f>
        <x:v>6</x:v>
      </x:c>
      <x:c r="H15" s="35" t="str">
        <x:v>Dead</x:v>
      </x:c>
      <x:c r="I15" s="35" t="str">
        <x:v>COLUMBUS</x:v>
      </x:c>
      <x:c r="J15" s="35" t="str">
        <x:v>FRANKLIN</x:v>
      </x:c>
      <x:c r="K15" s="35" t="str">
        <x:v>OHIO</x:v>
      </x:c>
      <x:c r="L15" s="35" t="str">
        <x:v>Property-suggestive name</x:v>
      </x:c>
      <x:c r="M15" s="35" t="str"/>
      <x:c r="N15" s="35" t="str">
        <x:f>IF(M15&lt;&gt;"","1 - Anchor",IF(L15="Explicit network-name lead","1 - Network lead",IF(G15&gt;=6,"2 - Date batch","3 - Baseline")))</x:f>
        <x:v>2 - Date batch</x:v>
      </x:c>
      <x:c r="O15" s="35" t="str">
        <x:v>Not Started</x:v>
      </x:c>
      <x:c r="P15" s="36"/>
      <x:c r="Q15" s="35" t="str"/>
      <x:c r="R15" s="35" t="str">
        <x:v>Unknown</x:v>
      </x:c>
      <x:c r="S15" s="35" t="str"/>
      <x:c r="T15" s="36"/>
      <x:c r="U15" s="35" t="str"/>
      <x:c r="V15" s="35" t="str"/>
      <x:c r="W15" s="35" t="str"/>
      <x:c r="X15" s="35" t="str"/>
      <x:c r="Y15" s="35" t="str">
        <x:v>Not Started</x:v>
      </x:c>
      <x:c r="Z15" s="35" t="str"/>
      <x:c r="AA15" s="35" t="str">
        <x:v>No Exact Hit</x:v>
      </x:c>
      <x:c r="AB15" s="35" t="str">
        <x:v>Unassessed</x:v>
      </x:c>
      <x:c r="AC15" s="35" t="str"/>
      <x:c r="AD15" s="37" t="str"/>
    </x:row>
    <x:row r="16">
      <x:c r="A16" s="50" t="str">
        <x:v>713840</x:v>
      </x:c>
      <x:c r="B16" s="35" t="str">
        <x:v>HARECK ENTERPRISES, INC.</x:v>
      </x:c>
      <x:c r="C16" s="35" t="str">
        <x:v>CORPORATION FOR PROFIT</x:v>
      </x:c>
      <x:c r="D16" s="36" t="n">
        <x:v>32121</x:v>
      </x:c>
      <x:c r="E16" s="35" t="n">
        <x:f>YEAR(D16)</x:f>
        <x:v>1987</x:v>
      </x:c>
      <x:c r="F16" s="35" t="str">
        <x:f>TEXT(D16,"yyyy-mm")</x:f>
        <x:v>1987-12</x:v>
      </x:c>
      <x:c r="G16" s="35" t="n">
        <x:f>COUNTIF($D$2:$D$102,D16)</x:f>
        <x:v>6</x:v>
      </x:c>
      <x:c r="H16" s="35" t="str">
        <x:v>Dead</x:v>
      </x:c>
      <x:c r="I16" s="35" t="str">
        <x:v>COLUMBUS</x:v>
      </x:c>
      <x:c r="J16" s="35" t="str">
        <x:v>FRANKLIN</x:v>
      </x:c>
      <x:c r="K16" s="35" t="str">
        <x:v>OHIO</x:v>
      </x:c>
      <x:c r="L16" s="35" t="str">
        <x:v>Other or operating-company name</x:v>
      </x:c>
      <x:c r="M16" s="35" t="str"/>
      <x:c r="N16" s="35" t="str">
        <x:f>IF(M16&lt;&gt;"","1 - Anchor",IF(L16="Explicit network-name lead","1 - Network lead",IF(G16&gt;=6,"2 - Date batch","3 - Baseline")))</x:f>
        <x:v>2 - Date batch</x:v>
      </x:c>
      <x:c r="O16" s="35" t="str">
        <x:v>Not Started</x:v>
      </x:c>
      <x:c r="P16" s="36"/>
      <x:c r="Q16" s="35" t="str"/>
      <x:c r="R16" s="35" t="str">
        <x:v>Unknown</x:v>
      </x:c>
      <x:c r="S16" s="35" t="str"/>
      <x:c r="T16" s="36"/>
      <x:c r="U16" s="35" t="str"/>
      <x:c r="V16" s="35" t="str"/>
      <x:c r="W16" s="35" t="str"/>
      <x:c r="X16" s="35" t="str"/>
      <x:c r="Y16" s="35" t="str">
        <x:v>Not Started</x:v>
      </x:c>
      <x:c r="Z16" s="35" t="str"/>
      <x:c r="AA16" s="35" t="str">
        <x:v>No Exact Hit</x:v>
      </x:c>
      <x:c r="AB16" s="35" t="str">
        <x:v>Unassessed</x:v>
      </x:c>
      <x:c r="AC16" s="35" t="str"/>
      <x:c r="AD16" s="37" t="str"/>
    </x:row>
    <x:row r="17">
      <x:c r="A17" s="50" t="str">
        <x:v>713841</x:v>
      </x:c>
      <x:c r="B17" s="35" t="str">
        <x:v>MAPLEGROVE PROPERTIES, INC.</x:v>
      </x:c>
      <x:c r="C17" s="35" t="str">
        <x:v>CORPORATION FOR PROFIT</x:v>
      </x:c>
      <x:c r="D17" s="36" t="n">
        <x:v>32121</x:v>
      </x:c>
      <x:c r="E17" s="35" t="n">
        <x:f>YEAR(D17)</x:f>
        <x:v>1987</x:v>
      </x:c>
      <x:c r="F17" s="35" t="str">
        <x:f>TEXT(D17,"yyyy-mm")</x:f>
        <x:v>1987-12</x:v>
      </x:c>
      <x:c r="G17" s="35" t="n">
        <x:f>COUNTIF($D$2:$D$102,D17)</x:f>
        <x:v>6</x:v>
      </x:c>
      <x:c r="H17" s="35" t="str">
        <x:v>Dead</x:v>
      </x:c>
      <x:c r="I17" s="35" t="str">
        <x:v>COLUMBUS</x:v>
      </x:c>
      <x:c r="J17" s="35" t="str">
        <x:v>FRANKLIN</x:v>
      </x:c>
      <x:c r="K17" s="35" t="str">
        <x:v>OHIO</x:v>
      </x:c>
      <x:c r="L17" s="35" t="str">
        <x:v>Property-suggestive name</x:v>
      </x:c>
      <x:c r="M17" s="35" t="str"/>
      <x:c r="N17" s="35" t="str">
        <x:f>IF(M17&lt;&gt;"","1 - Anchor",IF(L17="Explicit network-name lead","1 - Network lead",IF(G17&gt;=6,"2 - Date batch","3 - Baseline")))</x:f>
        <x:v>2 - Date batch</x:v>
      </x:c>
      <x:c r="O17" s="35" t="str">
        <x:v>Not Started</x:v>
      </x:c>
      <x:c r="P17" s="36"/>
      <x:c r="Q17" s="35" t="str"/>
      <x:c r="R17" s="35" t="str">
        <x:v>Unknown</x:v>
      </x:c>
      <x:c r="S17" s="35" t="str"/>
      <x:c r="T17" s="36"/>
      <x:c r="U17" s="35" t="str"/>
      <x:c r="V17" s="35" t="str"/>
      <x:c r="W17" s="35" t="str"/>
      <x:c r="X17" s="35" t="str"/>
      <x:c r="Y17" s="35" t="str">
        <x:v>Not Started</x:v>
      </x:c>
      <x:c r="Z17" s="35" t="str"/>
      <x:c r="AA17" s="35" t="str">
        <x:v>No Exact Hit</x:v>
      </x:c>
      <x:c r="AB17" s="35" t="str">
        <x:v>Unassessed</x:v>
      </x:c>
      <x:c r="AC17" s="35" t="str"/>
      <x:c r="AD17" s="37" t="str"/>
    </x:row>
    <x:row r="18">
      <x:c r="A18" s="50" t="str">
        <x:v>713839</x:v>
      </x:c>
      <x:c r="B18" s="35" t="str">
        <x:v>PLAIN DESIGNS, INCORPORATED</x:v>
      </x:c>
      <x:c r="C18" s="35" t="str">
        <x:v>CORPORATION FOR PROFIT</x:v>
      </x:c>
      <x:c r="D18" s="36" t="n">
        <x:v>32121</x:v>
      </x:c>
      <x:c r="E18" s="35" t="n">
        <x:f>YEAR(D18)</x:f>
        <x:v>1987</x:v>
      </x:c>
      <x:c r="F18" s="35" t="str">
        <x:f>TEXT(D18,"yyyy-mm")</x:f>
        <x:v>1987-12</x:v>
      </x:c>
      <x:c r="G18" s="35" t="n">
        <x:f>COUNTIF($D$2:$D$102,D18)</x:f>
        <x:v>6</x:v>
      </x:c>
      <x:c r="H18" s="35" t="str">
        <x:v>Dead</x:v>
      </x:c>
      <x:c r="I18" s="35" t="str">
        <x:v>COLUMBUS</x:v>
      </x:c>
      <x:c r="J18" s="35" t="str">
        <x:v>FRANKLIN</x:v>
      </x:c>
      <x:c r="K18" s="35" t="str">
        <x:v>OHIO</x:v>
      </x:c>
      <x:c r="L18" s="35" t="str">
        <x:v>Other or operating-company name</x:v>
      </x:c>
      <x:c r="M18" s="35" t="str"/>
      <x:c r="N18" s="35" t="str">
        <x:f>IF(M18&lt;&gt;"","1 - Anchor",IF(L18="Explicit network-name lead","1 - Network lead",IF(G18&gt;=6,"2 - Date batch","3 - Baseline")))</x:f>
        <x:v>2 - Date batch</x:v>
      </x:c>
      <x:c r="O18" s="35" t="str">
        <x:v>Not Started</x:v>
      </x:c>
      <x:c r="P18" s="36"/>
      <x:c r="Q18" s="35" t="str"/>
      <x:c r="R18" s="35" t="str">
        <x:v>Unknown</x:v>
      </x:c>
      <x:c r="S18" s="35" t="str"/>
      <x:c r="T18" s="36"/>
      <x:c r="U18" s="35" t="str"/>
      <x:c r="V18" s="35" t="str"/>
      <x:c r="W18" s="35" t="str"/>
      <x:c r="X18" s="35" t="str"/>
      <x:c r="Y18" s="35" t="str">
        <x:v>Not Started</x:v>
      </x:c>
      <x:c r="Z18" s="35" t="str"/>
      <x:c r="AA18" s="35" t="str">
        <x:v>No Exact Hit</x:v>
      </x:c>
      <x:c r="AB18" s="35" t="str">
        <x:v>Unassessed</x:v>
      </x:c>
      <x:c r="AC18" s="35" t="str"/>
      <x:c r="AD18" s="37" t="str"/>
    </x:row>
    <x:row r="19">
      <x:c r="A19" s="50" t="str">
        <x:v>713842</x:v>
      </x:c>
      <x:c r="B19" s="35" t="str">
        <x:v>REDWOOD STABLES, INC.</x:v>
      </x:c>
      <x:c r="C19" s="35" t="str">
        <x:v>CORPORATION FOR PROFIT</x:v>
      </x:c>
      <x:c r="D19" s="36" t="n">
        <x:v>32121</x:v>
      </x:c>
      <x:c r="E19" s="35" t="n">
        <x:f>YEAR(D19)</x:f>
        <x:v>1987</x:v>
      </x:c>
      <x:c r="F19" s="35" t="str">
        <x:f>TEXT(D19,"yyyy-mm")</x:f>
        <x:v>1987-12</x:v>
      </x:c>
      <x:c r="G19" s="35" t="n">
        <x:f>COUNTIF($D$2:$D$102,D19)</x:f>
        <x:v>6</x:v>
      </x:c>
      <x:c r="H19" s="35" t="str">
        <x:v>Dead</x:v>
      </x:c>
      <x:c r="I19" s="35" t="str">
        <x:v>COLUMBUS</x:v>
      </x:c>
      <x:c r="J19" s="35" t="str">
        <x:v>FRANKLIN</x:v>
      </x:c>
      <x:c r="K19" s="35" t="str">
        <x:v>OHIO</x:v>
      </x:c>
      <x:c r="L19" s="35" t="str">
        <x:v>Property-suggestive name</x:v>
      </x:c>
      <x:c r="M19" s="35" t="str"/>
      <x:c r="N19" s="35" t="str">
        <x:f>IF(M19&lt;&gt;"","1 - Anchor",IF(L19="Explicit network-name lead","1 - Network lead",IF(G19&gt;=6,"2 - Date batch","3 - Baseline")))</x:f>
        <x:v>2 - Date batch</x:v>
      </x:c>
      <x:c r="O19" s="35" t="str">
        <x:v>Not Started</x:v>
      </x:c>
      <x:c r="P19" s="36"/>
      <x:c r="Q19" s="35" t="str"/>
      <x:c r="R19" s="35" t="str">
        <x:v>Unknown</x:v>
      </x:c>
      <x:c r="S19" s="35" t="str"/>
      <x:c r="T19" s="36"/>
      <x:c r="U19" s="35" t="str"/>
      <x:c r="V19" s="35" t="str"/>
      <x:c r="W19" s="35" t="str"/>
      <x:c r="X19" s="35" t="str"/>
      <x:c r="Y19" s="35" t="str">
        <x:v>Not Started</x:v>
      </x:c>
      <x:c r="Z19" s="35" t="str"/>
      <x:c r="AA19" s="35" t="str">
        <x:v>No Exact Hit</x:v>
      </x:c>
      <x:c r="AB19" s="35" t="str">
        <x:v>Unassessed</x:v>
      </x:c>
      <x:c r="AC19" s="35" t="str"/>
      <x:c r="AD19" s="37" t="str"/>
    </x:row>
    <x:row r="20">
      <x:c r="A20" s="50" t="str">
        <x:v>713922</x:v>
      </x:c>
      <x:c r="B20" s="35" t="str">
        <x:v>FRONTIER TRADERS, INC.</x:v>
      </x:c>
      <x:c r="C20" s="35" t="str">
        <x:v>CORPORATION FOR PROFIT</x:v>
      </x:c>
      <x:c r="D20" s="36" t="n">
        <x:v>32122</x:v>
      </x:c>
      <x:c r="E20" s="35" t="n">
        <x:f>YEAR(D20)</x:f>
        <x:v>1987</x:v>
      </x:c>
      <x:c r="F20" s="35" t="str">
        <x:f>TEXT(D20,"yyyy-mm")</x:f>
        <x:v>1987-12</x:v>
      </x:c>
      <x:c r="G20" s="35" t="n">
        <x:f>COUNTIF($D$2:$D$102,D20)</x:f>
        <x:v>4</x:v>
      </x:c>
      <x:c r="H20" s="35" t="str">
        <x:v>Dead</x:v>
      </x:c>
      <x:c r="I20" s="35" t="str">
        <x:v>COLUMBUS</x:v>
      </x:c>
      <x:c r="J20" s="35" t="str">
        <x:v>FRANKLIN</x:v>
      </x:c>
      <x:c r="K20" s="35" t="str">
        <x:v>OHIO</x:v>
      </x:c>
      <x:c r="L20" s="35" t="str">
        <x:v>Other or operating-company name</x:v>
      </x:c>
      <x:c r="M20" s="35" t="str"/>
      <x:c r="N20" s="35" t="str">
        <x:f>IF(M20&lt;&gt;"","1 - Anchor",IF(L20="Explicit network-name lead","1 - Network lead",IF(G20&gt;=6,"2 - Date batch","3 - Baseline")))</x:f>
        <x:v>3 - Baseline</x:v>
      </x:c>
      <x:c r="O20" s="35" t="str">
        <x:v>Not Started</x:v>
      </x:c>
      <x:c r="P20" s="36"/>
      <x:c r="Q20" s="35" t="str"/>
      <x:c r="R20" s="35" t="str">
        <x:v>Unknown</x:v>
      </x:c>
      <x:c r="S20" s="35" t="str"/>
      <x:c r="T20" s="36"/>
      <x:c r="U20" s="35" t="str"/>
      <x:c r="V20" s="35" t="str"/>
      <x:c r="W20" s="35" t="str"/>
      <x:c r="X20" s="35" t="str"/>
      <x:c r="Y20" s="35" t="str">
        <x:v>Not Started</x:v>
      </x:c>
      <x:c r="Z20" s="35" t="str"/>
      <x:c r="AA20" s="35" t="str">
        <x:v>No Exact Hit</x:v>
      </x:c>
      <x:c r="AB20" s="35" t="str">
        <x:v>Unassessed</x:v>
      </x:c>
      <x:c r="AC20" s="35" t="str"/>
      <x:c r="AD20" s="37" t="str"/>
    </x:row>
    <x:row r="21">
      <x:c r="A21" s="50" t="str">
        <x:v>713923</x:v>
      </x:c>
      <x:c r="B21" s="35" t="str">
        <x:v>KITZMILLER PROPERTIES, INC.</x:v>
      </x:c>
      <x:c r="C21" s="35" t="str">
        <x:v>CORPORATION FOR PROFIT</x:v>
      </x:c>
      <x:c r="D21" s="36" t="n">
        <x:v>32122</x:v>
      </x:c>
      <x:c r="E21" s="35" t="n">
        <x:f>YEAR(D21)</x:f>
        <x:v>1987</x:v>
      </x:c>
      <x:c r="F21" s="35" t="str">
        <x:f>TEXT(D21,"yyyy-mm")</x:f>
        <x:v>1987-12</x:v>
      </x:c>
      <x:c r="G21" s="35" t="n">
        <x:f>COUNTIF($D$2:$D$102,D21)</x:f>
        <x:v>4</x:v>
      </x:c>
      <x:c r="H21" s="35" t="str">
        <x:v>Dead</x:v>
      </x:c>
      <x:c r="I21" s="35" t="str">
        <x:v>COLUMBUS</x:v>
      </x:c>
      <x:c r="J21" s="35" t="str">
        <x:v>FRANKLIN</x:v>
      </x:c>
      <x:c r="K21" s="35" t="str">
        <x:v>OHIO</x:v>
      </x:c>
      <x:c r="L21" s="35" t="str">
        <x:v>Property-suggestive name</x:v>
      </x:c>
      <x:c r="M21" s="35" t="str"/>
      <x:c r="N21" s="35" t="str">
        <x:f>IF(M21&lt;&gt;"","1 - Anchor",IF(L21="Explicit network-name lead","1 - Network lead",IF(G21&gt;=6,"2 - Date batch","3 - Baseline")))</x:f>
        <x:v>3 - Baseline</x:v>
      </x:c>
      <x:c r="O21" s="35" t="str">
        <x:v>Not Started</x:v>
      </x:c>
      <x:c r="P21" s="36"/>
      <x:c r="Q21" s="35" t="str"/>
      <x:c r="R21" s="35" t="str">
        <x:v>Unknown</x:v>
      </x:c>
      <x:c r="S21" s="35" t="str"/>
      <x:c r="T21" s="36"/>
      <x:c r="U21" s="35" t="str"/>
      <x:c r="V21" s="35" t="str"/>
      <x:c r="W21" s="35" t="str"/>
      <x:c r="X21" s="35" t="str"/>
      <x:c r="Y21" s="35" t="str">
        <x:v>Not Started</x:v>
      </x:c>
      <x:c r="Z21" s="35" t="str"/>
      <x:c r="AA21" s="35" t="str">
        <x:v>No Exact Hit</x:v>
      </x:c>
      <x:c r="AB21" s="35" t="str">
        <x:v>Unassessed</x:v>
      </x:c>
      <x:c r="AC21" s="35" t="str"/>
      <x:c r="AD21" s="37" t="str"/>
    </x:row>
    <x:row r="22">
      <x:c r="A22" s="50" t="str">
        <x:v>713924</x:v>
      </x:c>
      <x:c r="B22" s="35" t="str">
        <x:v>OAKFIELD ENTERPRISES, INC.</x:v>
      </x:c>
      <x:c r="C22" s="35" t="str">
        <x:v>CORPORATION FOR PROFIT</x:v>
      </x:c>
      <x:c r="D22" s="36" t="n">
        <x:v>32122</x:v>
      </x:c>
      <x:c r="E22" s="35" t="n">
        <x:f>YEAR(D22)</x:f>
        <x:v>1987</x:v>
      </x:c>
      <x:c r="F22" s="35" t="str">
        <x:f>TEXT(D22,"yyyy-mm")</x:f>
        <x:v>1987-12</x:v>
      </x:c>
      <x:c r="G22" s="35" t="n">
        <x:f>COUNTIF($D$2:$D$102,D22)</x:f>
        <x:v>4</x:v>
      </x:c>
      <x:c r="H22" s="35" t="str">
        <x:v>Dead</x:v>
      </x:c>
      <x:c r="I22" s="35" t="str">
        <x:v>COLUMBUS</x:v>
      </x:c>
      <x:c r="J22" s="35" t="str">
        <x:v>FRANKLIN</x:v>
      </x:c>
      <x:c r="K22" s="35" t="str">
        <x:v>OHIO</x:v>
      </x:c>
      <x:c r="L22" s="35" t="str">
        <x:v>Other or operating-company name</x:v>
      </x:c>
      <x:c r="M22" s="35" t="str"/>
      <x:c r="N22" s="35" t="str">
        <x:f>IF(M22&lt;&gt;"","1 - Anchor",IF(L22="Explicit network-name lead","1 - Network lead",IF(G22&gt;=6,"2 - Date batch","3 - Baseline")))</x:f>
        <x:v>3 - Baseline</x:v>
      </x:c>
      <x:c r="O22" s="35" t="str">
        <x:v>Not Started</x:v>
      </x:c>
      <x:c r="P22" s="36"/>
      <x:c r="Q22" s="35" t="str"/>
      <x:c r="R22" s="35" t="str">
        <x:v>Unknown</x:v>
      </x:c>
      <x:c r="S22" s="35" t="str"/>
      <x:c r="T22" s="36"/>
      <x:c r="U22" s="35" t="str"/>
      <x:c r="V22" s="35" t="str"/>
      <x:c r="W22" s="35" t="str"/>
      <x:c r="X22" s="35" t="str"/>
      <x:c r="Y22" s="35" t="str">
        <x:v>Not Started</x:v>
      </x:c>
      <x:c r="Z22" s="35" t="str"/>
      <x:c r="AA22" s="35" t="str">
        <x:v>No Exact Hit</x:v>
      </x:c>
      <x:c r="AB22" s="35" t="str">
        <x:v>Unassessed</x:v>
      </x:c>
      <x:c r="AC22" s="35" t="str"/>
      <x:c r="AD22" s="37" t="str"/>
    </x:row>
    <x:row r="23">
      <x:c r="A23" s="50" t="str">
        <x:v>713926</x:v>
      </x:c>
      <x:c r="B23" s="35" t="str">
        <x:v>WILDWOOD ACRES, INC.</x:v>
      </x:c>
      <x:c r="C23" s="35" t="str">
        <x:v>CORPORATION FOR PROFIT</x:v>
      </x:c>
      <x:c r="D23" s="36" t="n">
        <x:v>32122</x:v>
      </x:c>
      <x:c r="E23" s="35" t="n">
        <x:f>YEAR(D23)</x:f>
        <x:v>1987</x:v>
      </x:c>
      <x:c r="F23" s="35" t="str">
        <x:f>TEXT(D23,"yyyy-mm")</x:f>
        <x:v>1987-12</x:v>
      </x:c>
      <x:c r="G23" s="35" t="n">
        <x:f>COUNTIF($D$2:$D$102,D23)</x:f>
        <x:v>4</x:v>
      </x:c>
      <x:c r="H23" s="35" t="str">
        <x:v>Dead</x:v>
      </x:c>
      <x:c r="I23" s="35" t="str">
        <x:v>COLUMBUS</x:v>
      </x:c>
      <x:c r="J23" s="35" t="str">
        <x:v>FRANKLIN</x:v>
      </x:c>
      <x:c r="K23" s="35" t="str">
        <x:v>OHIO</x:v>
      </x:c>
      <x:c r="L23" s="35" t="str">
        <x:v>Property-suggestive name</x:v>
      </x:c>
      <x:c r="M23" s="35" t="str"/>
      <x:c r="N23" s="35" t="str">
        <x:f>IF(M23&lt;&gt;"","1 - Anchor",IF(L23="Explicit network-name lead","1 - Network lead",IF(G23&gt;=6,"2 - Date batch","3 - Baseline")))</x:f>
        <x:v>3 - Baseline</x:v>
      </x:c>
      <x:c r="O23" s="35" t="str">
        <x:v>Not Started</x:v>
      </x:c>
      <x:c r="P23" s="36"/>
      <x:c r="Q23" s="35" t="str"/>
      <x:c r="R23" s="35" t="str">
        <x:v>Unknown</x:v>
      </x:c>
      <x:c r="S23" s="35" t="str"/>
      <x:c r="T23" s="36"/>
      <x:c r="U23" s="35" t="str"/>
      <x:c r="V23" s="35" t="str"/>
      <x:c r="W23" s="35" t="str"/>
      <x:c r="X23" s="35" t="str"/>
      <x:c r="Y23" s="35" t="str">
        <x:v>Not Started</x:v>
      </x:c>
      <x:c r="Z23" s="35" t="str"/>
      <x:c r="AA23" s="35" t="str">
        <x:v>No Exact Hit</x:v>
      </x:c>
      <x:c r="AB23" s="35" t="str">
        <x:v>Unassessed</x:v>
      </x:c>
      <x:c r="AC23" s="35" t="str"/>
      <x:c r="AD23" s="37" t="str"/>
    </x:row>
    <x:row r="24">
      <x:c r="A24" s="50" t="str">
        <x:v>706250</x:v>
      </x:c>
      <x:c r="B24" s="35" t="str">
        <x:v>AUTUMN ACRES, INC.</x:v>
      </x:c>
      <x:c r="C24" s="35" t="str">
        <x:v>CORPORATION FOR PROFIT</x:v>
      </x:c>
      <x:c r="D24" s="36" t="n">
        <x:v>32125</x:v>
      </x:c>
      <x:c r="E24" s="35" t="n">
        <x:f>YEAR(D24)</x:f>
        <x:v>1987</x:v>
      </x:c>
      <x:c r="F24" s="35" t="str">
        <x:f>TEXT(D24,"yyyy-mm")</x:f>
        <x:v>1987-12</x:v>
      </x:c>
      <x:c r="G24" s="35" t="n">
        <x:f>COUNTIF($D$2:$D$102,D24)</x:f>
        <x:v>9</x:v>
      </x:c>
      <x:c r="H24" s="35" t="str">
        <x:v>Dead</x:v>
      </x:c>
      <x:c r="I24" s="35" t="str">
        <x:v>COLUMBUS</x:v>
      </x:c>
      <x:c r="J24" s="35" t="str">
        <x:v>FRANKLIN</x:v>
      </x:c>
      <x:c r="K24" s="35" t="str">
        <x:v>OHIO</x:v>
      </x:c>
      <x:c r="L24" s="35" t="str">
        <x:v>Property-suggestive name</x:v>
      </x:c>
      <x:c r="M24" s="35" t="str"/>
      <x:c r="N24" s="35" t="str">
        <x:f>IF(M24&lt;&gt;"","1 - Anchor",IF(L24="Explicit network-name lead","1 - Network lead",IF(G24&gt;=6,"2 - Date batch","3 - Baseline")))</x:f>
        <x:v>2 - Date batch</x:v>
      </x:c>
      <x:c r="O24" s="35" t="str">
        <x:v>Not Started</x:v>
      </x:c>
      <x:c r="P24" s="36"/>
      <x:c r="Q24" s="35" t="str"/>
      <x:c r="R24" s="35" t="str">
        <x:v>Unknown</x:v>
      </x:c>
      <x:c r="S24" s="35" t="str"/>
      <x:c r="T24" s="36"/>
      <x:c r="U24" s="35" t="str"/>
      <x:c r="V24" s="35" t="str"/>
      <x:c r="W24" s="35" t="str"/>
      <x:c r="X24" s="35" t="str"/>
      <x:c r="Y24" s="35" t="str">
        <x:v>Not Started</x:v>
      </x:c>
      <x:c r="Z24" s="35" t="str"/>
      <x:c r="AA24" s="35" t="str">
        <x:v>No Exact Hit</x:v>
      </x:c>
      <x:c r="AB24" s="35" t="str">
        <x:v>Unassessed</x:v>
      </x:c>
      <x:c r="AC24" s="35" t="str"/>
      <x:c r="AD24" s="37" t="str"/>
    </x:row>
    <x:row r="25">
      <x:c r="A25" s="50" t="str">
        <x:v>709782</x:v>
      </x:c>
      <x:c r="B25" s="35" t="str">
        <x:v>BLACKFORD INVESTMENTS, INC.</x:v>
      </x:c>
      <x:c r="C25" s="35" t="str">
        <x:v>CORPORATION FOR PROFIT</x:v>
      </x:c>
      <x:c r="D25" s="36" t="n">
        <x:v>32125</x:v>
      </x:c>
      <x:c r="E25" s="35" t="n">
        <x:f>YEAR(D25)</x:f>
        <x:v>1987</x:v>
      </x:c>
      <x:c r="F25" s="35" t="str">
        <x:f>TEXT(D25,"yyyy-mm")</x:f>
        <x:v>1987-12</x:v>
      </x:c>
      <x:c r="G25" s="35" t="n">
        <x:f>COUNTIF($D$2:$D$102,D25)</x:f>
        <x:v>9</x:v>
      </x:c>
      <x:c r="H25" s="35" t="str">
        <x:v>Dead</x:v>
      </x:c>
      <x:c r="I25" s="35" t="str">
        <x:v>COLUMBUS</x:v>
      </x:c>
      <x:c r="J25" s="35" t="str">
        <x:v>FRANKLIN</x:v>
      </x:c>
      <x:c r="K25" s="35" t="str">
        <x:v>OHIO</x:v>
      </x:c>
      <x:c r="L25" s="35" t="str">
        <x:v>Investment/holding/management name</x:v>
      </x:c>
      <x:c r="M25" s="35" t="str"/>
      <x:c r="N25" s="35" t="str">
        <x:f>IF(M25&lt;&gt;"","1 - Anchor",IF(L25="Explicit network-name lead","1 - Network lead",IF(G25&gt;=6,"2 - Date batch","3 - Baseline")))</x:f>
        <x:v>2 - Date batch</x:v>
      </x:c>
      <x:c r="O25" s="35" t="str">
        <x:v>Not Started</x:v>
      </x:c>
      <x:c r="P25" s="36"/>
      <x:c r="Q25" s="35" t="str"/>
      <x:c r="R25" s="35" t="str">
        <x:v>Unknown</x:v>
      </x:c>
      <x:c r="S25" s="35" t="str"/>
      <x:c r="T25" s="36"/>
      <x:c r="U25" s="35" t="str"/>
      <x:c r="V25" s="35" t="str"/>
      <x:c r="W25" s="35" t="str"/>
      <x:c r="X25" s="35" t="str"/>
      <x:c r="Y25" s="35" t="str">
        <x:v>Not Started</x:v>
      </x:c>
      <x:c r="Z25" s="35" t="str"/>
      <x:c r="AA25" s="35" t="str">
        <x:v>No Exact Hit</x:v>
      </x:c>
      <x:c r="AB25" s="35" t="str">
        <x:v>Unassessed</x:v>
      </x:c>
      <x:c r="AC25" s="35" t="str"/>
      <x:c r="AD25" s="37" t="str"/>
    </x:row>
    <x:row r="26">
      <x:c r="A26" s="50" t="str">
        <x:v>710873</x:v>
      </x:c>
      <x:c r="B26" s="35" t="str">
        <x:v>BLACKLICK PROPERTIES, INC.</x:v>
      </x:c>
      <x:c r="C26" s="35" t="str">
        <x:v>CORPORATION FOR PROFIT</x:v>
      </x:c>
      <x:c r="D26" s="36" t="n">
        <x:v>32125</x:v>
      </x:c>
      <x:c r="E26" s="35" t="n">
        <x:f>YEAR(D26)</x:f>
        <x:v>1987</x:v>
      </x:c>
      <x:c r="F26" s="35" t="str">
        <x:f>TEXT(D26,"yyyy-mm")</x:f>
        <x:v>1987-12</x:v>
      </x:c>
      <x:c r="G26" s="35" t="n">
        <x:f>COUNTIF($D$2:$D$102,D26)</x:f>
        <x:v>9</x:v>
      </x:c>
      <x:c r="H26" s="35" t="str">
        <x:v>Dead</x:v>
      </x:c>
      <x:c r="I26" s="35" t="str">
        <x:v>COLUMBUS</x:v>
      </x:c>
      <x:c r="J26" s="35" t="str">
        <x:v>FRANKLIN</x:v>
      </x:c>
      <x:c r="K26" s="35" t="str">
        <x:v>OHIO</x:v>
      </x:c>
      <x:c r="L26" s="35" t="str">
        <x:v>Property-suggestive name</x:v>
      </x:c>
      <x:c r="M26" s="35" t="str"/>
      <x:c r="N26" s="35" t="str">
        <x:f>IF(M26&lt;&gt;"","1 - Anchor",IF(L26="Explicit network-name lead","1 - Network lead",IF(G26&gt;=6,"2 - Date batch","3 - Baseline")))</x:f>
        <x:v>2 - Date batch</x:v>
      </x:c>
      <x:c r="O26" s="35" t="str">
        <x:v>Not Started</x:v>
      </x:c>
      <x:c r="P26" s="36"/>
      <x:c r="Q26" s="35" t="str"/>
      <x:c r="R26" s="35" t="str">
        <x:v>Unknown</x:v>
      </x:c>
      <x:c r="S26" s="35" t="str"/>
      <x:c r="T26" s="36"/>
      <x:c r="U26" s="35" t="str"/>
      <x:c r="V26" s="35" t="str"/>
      <x:c r="W26" s="35" t="str"/>
      <x:c r="X26" s="35" t="str"/>
      <x:c r="Y26" s="35" t="str">
        <x:v>Not Started</x:v>
      </x:c>
      <x:c r="Z26" s="35" t="str"/>
      <x:c r="AA26" s="35" t="str">
        <x:v>No Exact Hit</x:v>
      </x:c>
      <x:c r="AB26" s="35" t="str">
        <x:v>Unassessed</x:v>
      </x:c>
      <x:c r="AC26" s="35" t="str"/>
      <x:c r="AD26" s="37" t="str"/>
    </x:row>
    <x:row r="27">
      <x:c r="A27" s="50" t="str">
        <x:v>711268</x:v>
      </x:c>
      <x:c r="B27" s="35" t="str">
        <x:v>BLENDON FARMS, INC.</x:v>
      </x:c>
      <x:c r="C27" s="35" t="str">
        <x:v>CORPORATION FOR PROFIT</x:v>
      </x:c>
      <x:c r="D27" s="36" t="n">
        <x:v>32125</x:v>
      </x:c>
      <x:c r="E27" s="35" t="n">
        <x:f>YEAR(D27)</x:f>
        <x:v>1987</x:v>
      </x:c>
      <x:c r="F27" s="35" t="str">
        <x:f>TEXT(D27,"yyyy-mm")</x:f>
        <x:v>1987-12</x:v>
      </x:c>
      <x:c r="G27" s="35" t="n">
        <x:f>COUNTIF($D$2:$D$102,D27)</x:f>
        <x:v>9</x:v>
      </x:c>
      <x:c r="H27" s="35" t="str">
        <x:v>Dead</x:v>
      </x:c>
      <x:c r="I27" s="35" t="str">
        <x:v>COLUMBUS</x:v>
      </x:c>
      <x:c r="J27" s="35" t="str">
        <x:v>FRANKLIN</x:v>
      </x:c>
      <x:c r="K27" s="35" t="str">
        <x:v>OHIO</x:v>
      </x:c>
      <x:c r="L27" s="35" t="str">
        <x:v>Property-suggestive name</x:v>
      </x:c>
      <x:c r="M27" s="35" t="str"/>
      <x:c r="N27" s="35" t="str">
        <x:f>IF(M27&lt;&gt;"","1 - Anchor",IF(L27="Explicit network-name lead","1 - Network lead",IF(G27&gt;=6,"2 - Date batch","3 - Baseline")))</x:f>
        <x:v>2 - Date batch</x:v>
      </x:c>
      <x:c r="O27" s="35" t="str">
        <x:v>Not Started</x:v>
      </x:c>
      <x:c r="P27" s="36"/>
      <x:c r="Q27" s="35" t="str"/>
      <x:c r="R27" s="35" t="str">
        <x:v>Unknown</x:v>
      </x:c>
      <x:c r="S27" s="35" t="str"/>
      <x:c r="T27" s="36"/>
      <x:c r="U27" s="35" t="str"/>
      <x:c r="V27" s="35" t="str"/>
      <x:c r="W27" s="35" t="str"/>
      <x:c r="X27" s="35" t="str"/>
      <x:c r="Y27" s="35" t="str">
        <x:v>Not Started</x:v>
      </x:c>
      <x:c r="Z27" s="35" t="str"/>
      <x:c r="AA27" s="35" t="str">
        <x:v>No Exact Hit</x:v>
      </x:c>
      <x:c r="AB27" s="35" t="str">
        <x:v>Unassessed</x:v>
      </x:c>
      <x:c r="AC27" s="35" t="str"/>
      <x:c r="AD27" s="37" t="str"/>
    </x:row>
    <x:row r="28">
      <x:c r="A28" s="50" t="str">
        <x:v>712106</x:v>
      </x:c>
      <x:c r="B28" s="35" t="str">
        <x:v>HARLEM INVESTMENT CORPORATION</x:v>
      </x:c>
      <x:c r="C28" s="35" t="str">
        <x:v>CORPORATION FOR PROFIT</x:v>
      </x:c>
      <x:c r="D28" s="36" t="n">
        <x:v>32125</x:v>
      </x:c>
      <x:c r="E28" s="35" t="n">
        <x:f>YEAR(D28)</x:f>
        <x:v>1987</x:v>
      </x:c>
      <x:c r="F28" s="35" t="str">
        <x:f>TEXT(D28,"yyyy-mm")</x:f>
        <x:v>1987-12</x:v>
      </x:c>
      <x:c r="G28" s="35" t="n">
        <x:f>COUNTIF($D$2:$D$102,D28)</x:f>
        <x:v>9</x:v>
      </x:c>
      <x:c r="H28" s="35" t="str">
        <x:v>Dead</x:v>
      </x:c>
      <x:c r="I28" s="35" t="str">
        <x:v>COLUMBUS</x:v>
      </x:c>
      <x:c r="J28" s="35" t="str">
        <x:v>FRANKLIN</x:v>
      </x:c>
      <x:c r="K28" s="35" t="str">
        <x:v>OHIO</x:v>
      </x:c>
      <x:c r="L28" s="35" t="str">
        <x:v>Investment/holding/management name</x:v>
      </x:c>
      <x:c r="M28" s="35" t="str"/>
      <x:c r="N28" s="35" t="str">
        <x:f>IF(M28&lt;&gt;"","1 - Anchor",IF(L28="Explicit network-name lead","1 - Network lead",IF(G28&gt;=6,"2 - Date batch","3 - Baseline")))</x:f>
        <x:v>2 - Date batch</x:v>
      </x:c>
      <x:c r="O28" s="35" t="str">
        <x:v>Not Started</x:v>
      </x:c>
      <x:c r="P28" s="36"/>
      <x:c r="Q28" s="35" t="str"/>
      <x:c r="R28" s="35" t="str">
        <x:v>Unknown</x:v>
      </x:c>
      <x:c r="S28" s="35" t="str"/>
      <x:c r="T28" s="36"/>
      <x:c r="U28" s="35" t="str"/>
      <x:c r="V28" s="35" t="str"/>
      <x:c r="W28" s="35" t="str"/>
      <x:c r="X28" s="35" t="str"/>
      <x:c r="Y28" s="35" t="str">
        <x:v>Not Started</x:v>
      </x:c>
      <x:c r="Z28" s="35" t="str"/>
      <x:c r="AA28" s="35" t="str">
        <x:v>No Exact Hit</x:v>
      </x:c>
      <x:c r="AB28" s="35" t="str">
        <x:v>Unassessed</x:v>
      </x:c>
      <x:c r="AC28" s="35" t="str"/>
      <x:c r="AD28" s="37" t="str"/>
    </x:row>
    <x:row r="29">
      <x:c r="A29" s="50" t="str">
        <x:v>712170</x:v>
      </x:c>
      <x:c r="B29" s="35" t="str">
        <x:v>IVY HEARTH PROPERTIES, INC.</x:v>
      </x:c>
      <x:c r="C29" s="35" t="str">
        <x:v>CORPORATION FOR PROFIT</x:v>
      </x:c>
      <x:c r="D29" s="36" t="n">
        <x:v>32125</x:v>
      </x:c>
      <x:c r="E29" s="35" t="n">
        <x:f>YEAR(D29)</x:f>
        <x:v>1987</x:v>
      </x:c>
      <x:c r="F29" s="35" t="str">
        <x:f>TEXT(D29,"yyyy-mm")</x:f>
        <x:v>1987-12</x:v>
      </x:c>
      <x:c r="G29" s="35" t="n">
        <x:f>COUNTIF($D$2:$D$102,D29)</x:f>
        <x:v>9</x:v>
      </x:c>
      <x:c r="H29" s="35" t="str">
        <x:v>Dead</x:v>
      </x:c>
      <x:c r="I29" s="35" t="str">
        <x:v>COLUMBUS</x:v>
      </x:c>
      <x:c r="J29" s="35" t="str">
        <x:v>FRANKLIN</x:v>
      </x:c>
      <x:c r="K29" s="35" t="str">
        <x:v>OHIO</x:v>
      </x:c>
      <x:c r="L29" s="35" t="str">
        <x:v>Property-suggestive name</x:v>
      </x:c>
      <x:c r="M29" s="35" t="str"/>
      <x:c r="N29" s="35" t="str">
        <x:f>IF(M29&lt;&gt;"","1 - Anchor",IF(L29="Explicit network-name lead","1 - Network lead",IF(G29&gt;=6,"2 - Date batch","3 - Baseline")))</x:f>
        <x:v>2 - Date batch</x:v>
      </x:c>
      <x:c r="O29" s="35" t="str">
        <x:v>Not Started</x:v>
      </x:c>
      <x:c r="P29" s="36"/>
      <x:c r="Q29" s="35" t="str"/>
      <x:c r="R29" s="35" t="str">
        <x:v>Unknown</x:v>
      </x:c>
      <x:c r="S29" s="35" t="str"/>
      <x:c r="T29" s="36"/>
      <x:c r="U29" s="35" t="str"/>
      <x:c r="V29" s="35" t="str"/>
      <x:c r="W29" s="35" t="str"/>
      <x:c r="X29" s="35" t="str"/>
      <x:c r="Y29" s="35" t="str">
        <x:v>Not Started</x:v>
      </x:c>
      <x:c r="Z29" s="35" t="str"/>
      <x:c r="AA29" s="35" t="str">
        <x:v>No Exact Hit</x:v>
      </x:c>
      <x:c r="AB29" s="35" t="str">
        <x:v>Unassessed</x:v>
      </x:c>
      <x:c r="AC29" s="35" t="str"/>
      <x:c r="AD29" s="37" t="str"/>
    </x:row>
    <x:row r="30">
      <x:c r="A30" s="50" t="str">
        <x:v>712264</x:v>
      </x:c>
      <x:c r="B30" s="35" t="str">
        <x:v>LEEACE INC.</x:v>
      </x:c>
      <x:c r="C30" s="35" t="str">
        <x:v>CORPORATION FOR PROFIT</x:v>
      </x:c>
      <x:c r="D30" s="36" t="n">
        <x:v>32125</x:v>
      </x:c>
      <x:c r="E30" s="35" t="n">
        <x:f>YEAR(D30)</x:f>
        <x:v>1987</x:v>
      </x:c>
      <x:c r="F30" s="35" t="str">
        <x:f>TEXT(D30,"yyyy-mm")</x:f>
        <x:v>1987-12</x:v>
      </x:c>
      <x:c r="G30" s="35" t="n">
        <x:f>COUNTIF($D$2:$D$102,D30)</x:f>
        <x:v>9</x:v>
      </x:c>
      <x:c r="H30" s="35" t="str">
        <x:v>Dead</x:v>
      </x:c>
      <x:c r="I30" s="35" t="str">
        <x:v>COLUMBUS</x:v>
      </x:c>
      <x:c r="J30" s="35" t="str">
        <x:v>FRANKLIN</x:v>
      </x:c>
      <x:c r="K30" s="35" t="str">
        <x:v>OHIO</x:v>
      </x:c>
      <x:c r="L30" s="35" t="str">
        <x:v>Other or operating-company name</x:v>
      </x:c>
      <x:c r="M30" s="35" t="str"/>
      <x:c r="N30" s="35" t="str">
        <x:f>IF(M30&lt;&gt;"","1 - Anchor",IF(L30="Explicit network-name lead","1 - Network lead",IF(G30&gt;=6,"2 - Date batch","3 - Baseline")))</x:f>
        <x:v>2 - Date batch</x:v>
      </x:c>
      <x:c r="O30" s="35" t="str">
        <x:v>Not Started</x:v>
      </x:c>
      <x:c r="P30" s="36"/>
      <x:c r="Q30" s="35" t="str"/>
      <x:c r="R30" s="35" t="str">
        <x:v>Unknown</x:v>
      </x:c>
      <x:c r="S30" s="35" t="str"/>
      <x:c r="T30" s="36"/>
      <x:c r="U30" s="35" t="str"/>
      <x:c r="V30" s="35" t="str"/>
      <x:c r="W30" s="35" t="str"/>
      <x:c r="X30" s="35" t="str"/>
      <x:c r="Y30" s="35" t="str">
        <x:v>Not Started</x:v>
      </x:c>
      <x:c r="Z30" s="35" t="str"/>
      <x:c r="AA30" s="35" t="str">
        <x:v>No Exact Hit</x:v>
      </x:c>
      <x:c r="AB30" s="35" t="str">
        <x:v>Unassessed</x:v>
      </x:c>
      <x:c r="AC30" s="35" t="str"/>
      <x:c r="AD30" s="37" t="str"/>
    </x:row>
    <x:row r="31">
      <x:c r="A31" s="50" t="str">
        <x:v>712296</x:v>
      </x:c>
      <x:c r="B31" s="35" t="str">
        <x:v>MORSHAM LAND CORPORATION</x:v>
      </x:c>
      <x:c r="C31" s="35" t="str">
        <x:v>CORPORATION FOR PROFIT</x:v>
      </x:c>
      <x:c r="D31" s="36" t="n">
        <x:v>32125</x:v>
      </x:c>
      <x:c r="E31" s="35" t="n">
        <x:f>YEAR(D31)</x:f>
        <x:v>1987</x:v>
      </x:c>
      <x:c r="F31" s="35" t="str">
        <x:f>TEXT(D31,"yyyy-mm")</x:f>
        <x:v>1987-12</x:v>
      </x:c>
      <x:c r="G31" s="35" t="n">
        <x:f>COUNTIF($D$2:$D$102,D31)</x:f>
        <x:v>9</x:v>
      </x:c>
      <x:c r="H31" s="35" t="str">
        <x:v>Dead</x:v>
      </x:c>
      <x:c r="I31" s="35" t="str">
        <x:v>COLUMBUS</x:v>
      </x:c>
      <x:c r="J31" s="35" t="str">
        <x:v>FRANKLIN</x:v>
      </x:c>
      <x:c r="K31" s="35" t="str">
        <x:v>OHIO</x:v>
      </x:c>
      <x:c r="L31" s="35" t="str">
        <x:v>Explicit network-name lead</x:v>
      </x:c>
      <x:c r="M31" s="35" t="str">
        <x:v>Existing Morsham recorder lane and user-supplied Ohio filing clue; ownership and control remain unestablished.</x:v>
      </x:c>
      <x:c r="N31" s="35" t="str">
        <x:f>IF(M31&lt;&gt;"","1 - Anchor",IF(L31="Explicit network-name lead","1 - Network lead",IF(G31&gt;=6,"2 - Date batch","3 - Baseline")))</x:f>
        <x:v>1 - Anchor</x:v>
      </x:c>
      <x:c r="O31" s="35" t="str">
        <x:v>Not Started</x:v>
      </x:c>
      <x:c r="P31" s="36"/>
      <x:c r="Q31" s="35" t="str"/>
      <x:c r="R31" s="35" t="str">
        <x:v>Unknown</x:v>
      </x:c>
      <x:c r="S31" s="35" t="str"/>
      <x:c r="T31" s="36"/>
      <x:c r="U31" s="35" t="str"/>
      <x:c r="V31" s="35" t="str"/>
      <x:c r="W31" s="35" t="str"/>
      <x:c r="X31" s="35" t="str"/>
      <x:c r="Y31" s="35" t="str">
        <x:v>Hit</x:v>
      </x:c>
      <x:c r="Z31" s="35" t="str">
        <x:v>Eight Franklin index rows; two 1997-02-18 deeds to New Albany Co. Ltd. Partnership. Images and title chain remain pending.</x:v>
      </x:c>
      <x:c r="AA31" s="35" t="str">
        <x:v>Hit</x:v>
      </x:c>
      <x:c r="AB31" s="35" t="str">
        <x:v>Possible</x:v>
      </x:c>
      <x:c r="AC31" s="35" t="str">
        <x:v>OH-SOS:5422_1216; FRANKLIN-RECORDER:199702180037606; FRANKLIN-RECORDER:199702180037607; FINDING:14554</x:v>
      </x:c>
      <x:c r="AD31" s="37" t="str">
        <x:v>Resolve instrument 199611150229244 from the image because party-search and exact-instrument views conflict.</x:v>
      </x:c>
    </x:row>
    <x:row r="32">
      <x:c r="A32" s="50" t="str">
        <x:v>712441</x:v>
      </x:c>
      <x:c r="B32" s="35" t="str">
        <x:v>ROCKYRIVER PROPERTIES, INC.</x:v>
      </x:c>
      <x:c r="C32" s="35" t="str">
        <x:v>CORPORATION FOR PROFIT</x:v>
      </x:c>
      <x:c r="D32" s="36" t="n">
        <x:v>32125</x:v>
      </x:c>
      <x:c r="E32" s="35" t="n">
        <x:f>YEAR(D32)</x:f>
        <x:v>1987</x:v>
      </x:c>
      <x:c r="F32" s="35" t="str">
        <x:f>TEXT(D32,"yyyy-mm")</x:f>
        <x:v>1987-12</x:v>
      </x:c>
      <x:c r="G32" s="35" t="n">
        <x:f>COUNTIF($D$2:$D$102,D32)</x:f>
        <x:v>9</x:v>
      </x:c>
      <x:c r="H32" s="35" t="str">
        <x:v>Dead</x:v>
      </x:c>
      <x:c r="I32" s="35" t="str">
        <x:v>COLUMBUS</x:v>
      </x:c>
      <x:c r="J32" s="35" t="str">
        <x:v>FRANKLIN</x:v>
      </x:c>
      <x:c r="K32" s="35" t="str">
        <x:v>OHIO</x:v>
      </x:c>
      <x:c r="L32" s="35" t="str">
        <x:v>Property-suggestive name</x:v>
      </x:c>
      <x:c r="M32" s="35" t="str"/>
      <x:c r="N32" s="35" t="str">
        <x:f>IF(M32&lt;&gt;"","1 - Anchor",IF(L32="Explicit network-name lead","1 - Network lead",IF(G32&gt;=6,"2 - Date batch","3 - Baseline")))</x:f>
        <x:v>2 - Date batch</x:v>
      </x:c>
      <x:c r="O32" s="35" t="str">
        <x:v>Not Started</x:v>
      </x:c>
      <x:c r="P32" s="36"/>
      <x:c r="Q32" s="35" t="str"/>
      <x:c r="R32" s="35" t="str">
        <x:v>Unknown</x:v>
      </x:c>
      <x:c r="S32" s="35" t="str"/>
      <x:c r="T32" s="36"/>
      <x:c r="U32" s="35" t="str"/>
      <x:c r="V32" s="35" t="str"/>
      <x:c r="W32" s="35" t="str"/>
      <x:c r="X32" s="35" t="str"/>
      <x:c r="Y32" s="35" t="str">
        <x:v>Not Started</x:v>
      </x:c>
      <x:c r="Z32" s="35" t="str"/>
      <x:c r="AA32" s="35" t="str">
        <x:v>No Exact Hit</x:v>
      </x:c>
      <x:c r="AB32" s="35" t="str">
        <x:v>Unassessed</x:v>
      </x:c>
      <x:c r="AC32" s="35" t="str"/>
      <x:c r="AD32" s="37" t="str"/>
    </x:row>
    <x:row r="33">
      <x:c r="A33" s="50" t="str">
        <x:v>689665</x:v>
      </x:c>
      <x:c r="B33" s="35" t="str">
        <x:v>BEARCE HOLLOW, INC.</x:v>
      </x:c>
      <x:c r="C33" s="35" t="str">
        <x:v>CORPORATION FOR PROFIT</x:v>
      </x:c>
      <x:c r="D33" s="36" t="n">
        <x:v>32128</x:v>
      </x:c>
      <x:c r="E33" s="35" t="n">
        <x:f>YEAR(D33)</x:f>
        <x:v>1987</x:v>
      </x:c>
      <x:c r="F33" s="35" t="str">
        <x:f>TEXT(D33,"yyyy-mm")</x:f>
        <x:v>1987-12</x:v>
      </x:c>
      <x:c r="G33" s="35" t="n">
        <x:f>COUNTIF($D$2:$D$102,D33)</x:f>
        <x:v>10</x:v>
      </x:c>
      <x:c r="H33" s="35" t="str">
        <x:v>Dead</x:v>
      </x:c>
      <x:c r="I33" s="35" t="str">
        <x:v>COLUMBUS</x:v>
      </x:c>
      <x:c r="J33" s="35" t="str">
        <x:v>FRANKLIN</x:v>
      </x:c>
      <x:c r="K33" s="35" t="str">
        <x:v>OHIO</x:v>
      </x:c>
      <x:c r="L33" s="35" t="str">
        <x:v>Property-suggestive name</x:v>
      </x:c>
      <x:c r="M33" s="35" t="str"/>
      <x:c r="N33" s="35" t="str">
        <x:f>IF(M33&lt;&gt;"","1 - Anchor",IF(L33="Explicit network-name lead","1 - Network lead",IF(G33&gt;=6,"2 - Date batch","3 - Baseline")))</x:f>
        <x:v>2 - Date batch</x:v>
      </x:c>
      <x:c r="O33" s="35" t="str">
        <x:v>Not Started</x:v>
      </x:c>
      <x:c r="P33" s="36"/>
      <x:c r="Q33" s="35" t="str"/>
      <x:c r="R33" s="35" t="str">
        <x:v>Unknown</x:v>
      </x:c>
      <x:c r="S33" s="35" t="str"/>
      <x:c r="T33" s="36"/>
      <x:c r="U33" s="35" t="str"/>
      <x:c r="V33" s="35" t="str"/>
      <x:c r="W33" s="35" t="str"/>
      <x:c r="X33" s="35" t="str"/>
      <x:c r="Y33" s="35" t="str">
        <x:v>Not Started</x:v>
      </x:c>
      <x:c r="Z33" s="35" t="str"/>
      <x:c r="AA33" s="35" t="str">
        <x:v>No Exact Hit</x:v>
      </x:c>
      <x:c r="AB33" s="35" t="str">
        <x:v>Unassessed</x:v>
      </x:c>
      <x:c r="AC33" s="35" t="str"/>
      <x:c r="AD33" s="37" t="str"/>
    </x:row>
    <x:row r="34">
      <x:c r="A34" s="50" t="str">
        <x:v>689664</x:v>
      </x:c>
      <x:c r="B34" s="35" t="str">
        <x:v>BREWER FARMS, INC.</x:v>
      </x:c>
      <x:c r="C34" s="35" t="str">
        <x:v>CORPORATION FOR PROFIT</x:v>
      </x:c>
      <x:c r="D34" s="36" t="n">
        <x:v>32128</x:v>
      </x:c>
      <x:c r="E34" s="35" t="n">
        <x:f>YEAR(D34)</x:f>
        <x:v>1987</x:v>
      </x:c>
      <x:c r="F34" s="35" t="str">
        <x:f>TEXT(D34,"yyyy-mm")</x:f>
        <x:v>1987-12</x:v>
      </x:c>
      <x:c r="G34" s="35" t="n">
        <x:f>COUNTIF($D$2:$D$102,D34)</x:f>
        <x:v>10</x:v>
      </x:c>
      <x:c r="H34" s="35" t="str">
        <x:v>Dead</x:v>
      </x:c>
      <x:c r="I34" s="35" t="str">
        <x:v>COLUMBUS</x:v>
      </x:c>
      <x:c r="J34" s="35" t="str">
        <x:v>FRANKLIN</x:v>
      </x:c>
      <x:c r="K34" s="35" t="str">
        <x:v>OHIO</x:v>
      </x:c>
      <x:c r="L34" s="35" t="str">
        <x:v>Property-suggestive name</x:v>
      </x:c>
      <x:c r="M34" s="35" t="str"/>
      <x:c r="N34" s="35" t="str">
        <x:f>IF(M34&lt;&gt;"","1 - Anchor",IF(L34="Explicit network-name lead","1 - Network lead",IF(G34&gt;=6,"2 - Date batch","3 - Baseline")))</x:f>
        <x:v>2 - Date batch</x:v>
      </x:c>
      <x:c r="O34" s="35" t="str">
        <x:v>Not Started</x:v>
      </x:c>
      <x:c r="P34" s="36"/>
      <x:c r="Q34" s="35" t="str"/>
      <x:c r="R34" s="35" t="str">
        <x:v>Unknown</x:v>
      </x:c>
      <x:c r="S34" s="35" t="str"/>
      <x:c r="T34" s="36"/>
      <x:c r="U34" s="35" t="str"/>
      <x:c r="V34" s="35" t="str"/>
      <x:c r="W34" s="35" t="str"/>
      <x:c r="X34" s="35" t="str"/>
      <x:c r="Y34" s="35" t="str">
        <x:v>Not Started</x:v>
      </x:c>
      <x:c r="Z34" s="35" t="str"/>
      <x:c r="AA34" s="35" t="str">
        <x:v>No Exact Hit</x:v>
      </x:c>
      <x:c r="AB34" s="35" t="str">
        <x:v>Unassessed</x:v>
      </x:c>
      <x:c r="AC34" s="35" t="str"/>
      <x:c r="AD34" s="37" t="str"/>
    </x:row>
    <x:row r="35">
      <x:c r="A35" s="50" t="str">
        <x:v>689663</x:v>
      </x:c>
      <x:c r="B35" s="35" t="str">
        <x:v>CARLISLE MEADOWS, INC.</x:v>
      </x:c>
      <x:c r="C35" s="35" t="str">
        <x:v>CORPORATION FOR PROFIT</x:v>
      </x:c>
      <x:c r="D35" s="36" t="n">
        <x:v>32128</x:v>
      </x:c>
      <x:c r="E35" s="35" t="n">
        <x:f>YEAR(D35)</x:f>
        <x:v>1987</x:v>
      </x:c>
      <x:c r="F35" s="35" t="str">
        <x:f>TEXT(D35,"yyyy-mm")</x:f>
        <x:v>1987-12</x:v>
      </x:c>
      <x:c r="G35" s="35" t="n">
        <x:f>COUNTIF($D$2:$D$102,D35)</x:f>
        <x:v>10</x:v>
      </x:c>
      <x:c r="H35" s="35" t="str">
        <x:v>Dead</x:v>
      </x:c>
      <x:c r="I35" s="35" t="str">
        <x:v>COLUMBUS</x:v>
      </x:c>
      <x:c r="J35" s="35" t="str">
        <x:v>FRANKLIN</x:v>
      </x:c>
      <x:c r="K35" s="35" t="str">
        <x:v>OHIO</x:v>
      </x:c>
      <x:c r="L35" s="35" t="str">
        <x:v>Property-suggestive name</x:v>
      </x:c>
      <x:c r="M35" s="35" t="str"/>
      <x:c r="N35" s="35" t="str">
        <x:f>IF(M35&lt;&gt;"","1 - Anchor",IF(L35="Explicit network-name lead","1 - Network lead",IF(G35&gt;=6,"2 - Date batch","3 - Baseline")))</x:f>
        <x:v>2 - Date batch</x:v>
      </x:c>
      <x:c r="O35" s="35" t="str">
        <x:v>Not Started</x:v>
      </x:c>
      <x:c r="P35" s="36"/>
      <x:c r="Q35" s="35" t="str"/>
      <x:c r="R35" s="35" t="str">
        <x:v>Unknown</x:v>
      </x:c>
      <x:c r="S35" s="35" t="str"/>
      <x:c r="T35" s="36"/>
      <x:c r="U35" s="35" t="str"/>
      <x:c r="V35" s="35" t="str"/>
      <x:c r="W35" s="35" t="str"/>
      <x:c r="X35" s="35" t="str"/>
      <x:c r="Y35" s="35" t="str">
        <x:v>Not Started</x:v>
      </x:c>
      <x:c r="Z35" s="35" t="str"/>
      <x:c r="AA35" s="35" t="str">
        <x:v>No Exact Hit</x:v>
      </x:c>
      <x:c r="AB35" s="35" t="str">
        <x:v>Unassessed</x:v>
      </x:c>
      <x:c r="AC35" s="35" t="str"/>
      <x:c r="AD35" s="37" t="str"/>
    </x:row>
    <x:row r="36">
      <x:c r="A36" s="50" t="str">
        <x:v>689666</x:v>
      </x:c>
      <x:c r="B36" s="35" t="str">
        <x:v>CENTRAL FALLS, INC.</x:v>
      </x:c>
      <x:c r="C36" s="35" t="str">
        <x:v>CORPORATION FOR PROFIT</x:v>
      </x:c>
      <x:c r="D36" s="36" t="n">
        <x:v>32128</x:v>
      </x:c>
      <x:c r="E36" s="35" t="n">
        <x:f>YEAR(D36)</x:f>
        <x:v>1987</x:v>
      </x:c>
      <x:c r="F36" s="35" t="str">
        <x:f>TEXT(D36,"yyyy-mm")</x:f>
        <x:v>1987-12</x:v>
      </x:c>
      <x:c r="G36" s="35" t="n">
        <x:f>COUNTIF($D$2:$D$102,D36)</x:f>
        <x:v>10</x:v>
      </x:c>
      <x:c r="H36" s="35" t="str">
        <x:v>Dead</x:v>
      </x:c>
      <x:c r="I36" s="35" t="str">
        <x:v>COLUMBUS</x:v>
      </x:c>
      <x:c r="J36" s="35" t="str">
        <x:v>FRANKLIN</x:v>
      </x:c>
      <x:c r="K36" s="35" t="str">
        <x:v>OHIO</x:v>
      </x:c>
      <x:c r="L36" s="35" t="str">
        <x:v>Other or operating-company name</x:v>
      </x:c>
      <x:c r="M36" s="35" t="str"/>
      <x:c r="N36" s="35" t="str">
        <x:f>IF(M36&lt;&gt;"","1 - Anchor",IF(L36="Explicit network-name lead","1 - Network lead",IF(G36&gt;=6,"2 - Date batch","3 - Baseline")))</x:f>
        <x:v>2 - Date batch</x:v>
      </x:c>
      <x:c r="O36" s="35" t="str">
        <x:v>Not Started</x:v>
      </x:c>
      <x:c r="P36" s="36"/>
      <x:c r="Q36" s="35" t="str"/>
      <x:c r="R36" s="35" t="str">
        <x:v>Unknown</x:v>
      </x:c>
      <x:c r="S36" s="35" t="str"/>
      <x:c r="T36" s="36"/>
      <x:c r="U36" s="35" t="str"/>
      <x:c r="V36" s="35" t="str"/>
      <x:c r="W36" s="35" t="str"/>
      <x:c r="X36" s="35" t="str"/>
      <x:c r="Y36" s="35" t="str">
        <x:v>Not Started</x:v>
      </x:c>
      <x:c r="Z36" s="35" t="str"/>
      <x:c r="AA36" s="35" t="str">
        <x:v>No Exact Hit</x:v>
      </x:c>
      <x:c r="AB36" s="35" t="str">
        <x:v>Unassessed</x:v>
      </x:c>
      <x:c r="AC36" s="35" t="str"/>
      <x:c r="AD36" s="37" t="str"/>
    </x:row>
    <x:row r="37">
      <x:c r="A37" s="50" t="str">
        <x:v>689454</x:v>
      </x:c>
      <x:c r="B37" s="35" t="str">
        <x:v>DAISEYLAND FARMS, INC.</x:v>
      </x:c>
      <x:c r="C37" s="35" t="str">
        <x:v>CORPORATION FOR PROFIT</x:v>
      </x:c>
      <x:c r="D37" s="36" t="n">
        <x:v>32128</x:v>
      </x:c>
      <x:c r="E37" s="35" t="n">
        <x:f>YEAR(D37)</x:f>
        <x:v>1987</x:v>
      </x:c>
      <x:c r="F37" s="35" t="str">
        <x:f>TEXT(D37,"yyyy-mm")</x:f>
        <x:v>1987-12</x:v>
      </x:c>
      <x:c r="G37" s="35" t="n">
        <x:f>COUNTIF($D$2:$D$102,D37)</x:f>
        <x:v>10</x:v>
      </x:c>
      <x:c r="H37" s="35" t="str">
        <x:v>Dead</x:v>
      </x:c>
      <x:c r="I37" s="35" t="str">
        <x:v>COLUMBUS</x:v>
      </x:c>
      <x:c r="J37" s="35" t="str">
        <x:v>FRANKLIN</x:v>
      </x:c>
      <x:c r="K37" s="35" t="str">
        <x:v>OHIO</x:v>
      </x:c>
      <x:c r="L37" s="35" t="str">
        <x:v>Property-suggestive name</x:v>
      </x:c>
      <x:c r="M37" s="35" t="str"/>
      <x:c r="N37" s="35" t="str">
        <x:f>IF(M37&lt;&gt;"","1 - Anchor",IF(L37="Explicit network-name lead","1 - Network lead",IF(G37&gt;=6,"2 - Date batch","3 - Baseline")))</x:f>
        <x:v>2 - Date batch</x:v>
      </x:c>
      <x:c r="O37" s="35" t="str">
        <x:v>Not Started</x:v>
      </x:c>
      <x:c r="P37" s="36"/>
      <x:c r="Q37" s="35" t="str"/>
      <x:c r="R37" s="35" t="str">
        <x:v>Unknown</x:v>
      </x:c>
      <x:c r="S37" s="35" t="str"/>
      <x:c r="T37" s="36"/>
      <x:c r="U37" s="35" t="str"/>
      <x:c r="V37" s="35" t="str"/>
      <x:c r="W37" s="35" t="str"/>
      <x:c r="X37" s="35" t="str"/>
      <x:c r="Y37" s="35" t="str">
        <x:v>Not Started</x:v>
      </x:c>
      <x:c r="Z37" s="35" t="str"/>
      <x:c r="AA37" s="35" t="str">
        <x:v>No Exact Hit</x:v>
      </x:c>
      <x:c r="AB37" s="35" t="str">
        <x:v>Unassessed</x:v>
      </x:c>
      <x:c r="AC37" s="35" t="str"/>
      <x:c r="AD37" s="37" t="str"/>
    </x:row>
    <x:row r="38">
      <x:c r="A38" s="50" t="str">
        <x:v>689908</x:v>
      </x:c>
      <x:c r="B38" s="35" t="str">
        <x:v>EASTSIDE INDUSTRIAL, INC.</x:v>
      </x:c>
      <x:c r="C38" s="35" t="str">
        <x:v>CORPORATION FOR PROFIT</x:v>
      </x:c>
      <x:c r="D38" s="36" t="n">
        <x:v>32128</x:v>
      </x:c>
      <x:c r="E38" s="35" t="n">
        <x:f>YEAR(D38)</x:f>
        <x:v>1987</x:v>
      </x:c>
      <x:c r="F38" s="35" t="str">
        <x:f>TEXT(D38,"yyyy-mm")</x:f>
        <x:v>1987-12</x:v>
      </x:c>
      <x:c r="G38" s="35" t="n">
        <x:f>COUNTIF($D$2:$D$102,D38)</x:f>
        <x:v>10</x:v>
      </x:c>
      <x:c r="H38" s="35" t="str">
        <x:v>Dead</x:v>
      </x:c>
      <x:c r="I38" s="35" t="str">
        <x:v>COLUMBUS</x:v>
      </x:c>
      <x:c r="J38" s="35" t="str">
        <x:v>FRANKLIN</x:v>
      </x:c>
      <x:c r="K38" s="35" t="str">
        <x:v>OHIO</x:v>
      </x:c>
      <x:c r="L38" s="35" t="str">
        <x:v>Property-suggestive name</x:v>
      </x:c>
      <x:c r="M38" s="35" t="str"/>
      <x:c r="N38" s="35" t="str">
        <x:f>IF(M38&lt;&gt;"","1 - Anchor",IF(L38="Explicit network-name lead","1 - Network lead",IF(G38&gt;=6,"2 - Date batch","3 - Baseline")))</x:f>
        <x:v>2 - Date batch</x:v>
      </x:c>
      <x:c r="O38" s="35" t="str">
        <x:v>Not Started</x:v>
      </x:c>
      <x:c r="P38" s="36"/>
      <x:c r="Q38" s="35" t="str"/>
      <x:c r="R38" s="35" t="str">
        <x:v>Unknown</x:v>
      </x:c>
      <x:c r="S38" s="35" t="str"/>
      <x:c r="T38" s="36"/>
      <x:c r="U38" s="35" t="str"/>
      <x:c r="V38" s="35" t="str"/>
      <x:c r="W38" s="35" t="str"/>
      <x:c r="X38" s="35" t="str"/>
      <x:c r="Y38" s="35" t="str">
        <x:v>Not Started</x:v>
      </x:c>
      <x:c r="Z38" s="35" t="str"/>
      <x:c r="AA38" s="35" t="str">
        <x:v>No Exact Hit</x:v>
      </x:c>
      <x:c r="AB38" s="35" t="str">
        <x:v>Unassessed</x:v>
      </x:c>
      <x:c r="AC38" s="35" t="str"/>
      <x:c r="AD38" s="37" t="str"/>
    </x:row>
    <x:row r="39">
      <x:c r="A39" s="50" t="str">
        <x:v>689662</x:v>
      </x:c>
      <x:c r="B39" s="35" t="str">
        <x:v>FRONTIER HILLS, INC.</x:v>
      </x:c>
      <x:c r="C39" s="35" t="str">
        <x:v>CORPORATION FOR PROFIT</x:v>
      </x:c>
      <x:c r="D39" s="36" t="n">
        <x:v>32128</x:v>
      </x:c>
      <x:c r="E39" s="35" t="n">
        <x:f>YEAR(D39)</x:f>
        <x:v>1987</x:v>
      </x:c>
      <x:c r="F39" s="35" t="str">
        <x:f>TEXT(D39,"yyyy-mm")</x:f>
        <x:v>1987-12</x:v>
      </x:c>
      <x:c r="G39" s="35" t="n">
        <x:f>COUNTIF($D$2:$D$102,D39)</x:f>
        <x:v>10</x:v>
      </x:c>
      <x:c r="H39" s="35" t="str">
        <x:v>Dead</x:v>
      </x:c>
      <x:c r="I39" s="35" t="str">
        <x:v>COLUMBUS</x:v>
      </x:c>
      <x:c r="J39" s="35" t="str">
        <x:v>FRANKLIN</x:v>
      </x:c>
      <x:c r="K39" s="35" t="str">
        <x:v>OHIO</x:v>
      </x:c>
      <x:c r="L39" s="35" t="str">
        <x:v>Property-suggestive name</x:v>
      </x:c>
      <x:c r="M39" s="35" t="str"/>
      <x:c r="N39" s="35" t="str">
        <x:f>IF(M39&lt;&gt;"","1 - Anchor",IF(L39="Explicit network-name lead","1 - Network lead",IF(G39&gt;=6,"2 - Date batch","3 - Baseline")))</x:f>
        <x:v>2 - Date batch</x:v>
      </x:c>
      <x:c r="O39" s="35" t="str">
        <x:v>Not Started</x:v>
      </x:c>
      <x:c r="P39" s="36"/>
      <x:c r="Q39" s="35" t="str"/>
      <x:c r="R39" s="35" t="str">
        <x:v>Unknown</x:v>
      </x:c>
      <x:c r="S39" s="35" t="str"/>
      <x:c r="T39" s="36"/>
      <x:c r="U39" s="35" t="str"/>
      <x:c r="V39" s="35" t="str"/>
      <x:c r="W39" s="35" t="str"/>
      <x:c r="X39" s="35" t="str"/>
      <x:c r="Y39" s="35" t="str">
        <x:v>Not Started</x:v>
      </x:c>
      <x:c r="Z39" s="35" t="str"/>
      <x:c r="AA39" s="35" t="str">
        <x:v>No Exact Hit</x:v>
      </x:c>
      <x:c r="AB39" s="35" t="str">
        <x:v>Unassessed</x:v>
      </x:c>
      <x:c r="AC39" s="35" t="str"/>
      <x:c r="AD39" s="37" t="str"/>
    </x:row>
    <x:row r="40">
      <x:c r="A40" s="50" t="str">
        <x:v>689906</x:v>
      </x:c>
      <x:c r="B40" s="35" t="str">
        <x:v>GAHANNA TRUCKING, INC.</x:v>
      </x:c>
      <x:c r="C40" s="35" t="str">
        <x:v>CORPORATION FOR PROFIT</x:v>
      </x:c>
      <x:c r="D40" s="36" t="n">
        <x:v>32128</x:v>
      </x:c>
      <x:c r="E40" s="35" t="n">
        <x:f>YEAR(D40)</x:f>
        <x:v>1987</x:v>
      </x:c>
      <x:c r="F40" s="35" t="str">
        <x:f>TEXT(D40,"yyyy-mm")</x:f>
        <x:v>1987-12</x:v>
      </x:c>
      <x:c r="G40" s="35" t="n">
        <x:f>COUNTIF($D$2:$D$102,D40)</x:f>
        <x:v>10</x:v>
      </x:c>
      <x:c r="H40" s="35" t="str">
        <x:v>Dead</x:v>
      </x:c>
      <x:c r="I40" s="35" t="str">
        <x:v>COLUMBUS</x:v>
      </x:c>
      <x:c r="J40" s="35" t="str">
        <x:v>FRANKLIN</x:v>
      </x:c>
      <x:c r="K40" s="35" t="str">
        <x:v>OHIO</x:v>
      </x:c>
      <x:c r="L40" s="35" t="str">
        <x:v>Other or operating-company name</x:v>
      </x:c>
      <x:c r="M40" s="35" t="str"/>
      <x:c r="N40" s="35" t="str">
        <x:f>IF(M40&lt;&gt;"","1 - Anchor",IF(L40="Explicit network-name lead","1 - Network lead",IF(G40&gt;=6,"2 - Date batch","3 - Baseline")))</x:f>
        <x:v>2 - Date batch</x:v>
      </x:c>
      <x:c r="O40" s="35" t="str">
        <x:v>Not Started</x:v>
      </x:c>
      <x:c r="P40" s="36"/>
      <x:c r="Q40" s="35" t="str"/>
      <x:c r="R40" s="35" t="str">
        <x:v>Unknown</x:v>
      </x:c>
      <x:c r="S40" s="35" t="str"/>
      <x:c r="T40" s="36"/>
      <x:c r="U40" s="35" t="str"/>
      <x:c r="V40" s="35" t="str"/>
      <x:c r="W40" s="35" t="str"/>
      <x:c r="X40" s="35" t="str"/>
      <x:c r="Y40" s="35" t="str">
        <x:v>Not Started</x:v>
      </x:c>
      <x:c r="Z40" s="35" t="str"/>
      <x:c r="AA40" s="35" t="str">
        <x:v>No Exact Hit</x:v>
      </x:c>
      <x:c r="AB40" s="35" t="str">
        <x:v>Unassessed</x:v>
      </x:c>
      <x:c r="AC40" s="35" t="str"/>
      <x:c r="AD40" s="37" t="str"/>
    </x:row>
    <x:row r="41">
      <x:c r="A41" s="50" t="str">
        <x:v>689907</x:v>
      </x:c>
      <x:c r="B41" s="35" t="str">
        <x:v>GREAT EASTERN FASTENING CORP.</x:v>
      </x:c>
      <x:c r="C41" s="35" t="str">
        <x:v>CORPORATION FOR PROFIT</x:v>
      </x:c>
      <x:c r="D41" s="36" t="n">
        <x:v>32128</x:v>
      </x:c>
      <x:c r="E41" s="35" t="n">
        <x:f>YEAR(D41)</x:f>
        <x:v>1987</x:v>
      </x:c>
      <x:c r="F41" s="35" t="str">
        <x:f>TEXT(D41,"yyyy-mm")</x:f>
        <x:v>1987-12</x:v>
      </x:c>
      <x:c r="G41" s="35" t="n">
        <x:f>COUNTIF($D$2:$D$102,D41)</x:f>
        <x:v>10</x:v>
      </x:c>
      <x:c r="H41" s="35" t="str">
        <x:v>Dead</x:v>
      </x:c>
      <x:c r="I41" s="35" t="str">
        <x:v>COLUMBUS</x:v>
      </x:c>
      <x:c r="J41" s="35" t="str">
        <x:v>FRANKLIN</x:v>
      </x:c>
      <x:c r="K41" s="35" t="str">
        <x:v>OHIO</x:v>
      </x:c>
      <x:c r="L41" s="35" t="str">
        <x:v>Other or operating-company name</x:v>
      </x:c>
      <x:c r="M41" s="35" t="str"/>
      <x:c r="N41" s="35" t="str">
        <x:f>IF(M41&lt;&gt;"","1 - Anchor",IF(L41="Explicit network-name lead","1 - Network lead",IF(G41&gt;=6,"2 - Date batch","3 - Baseline")))</x:f>
        <x:v>2 - Date batch</x:v>
      </x:c>
      <x:c r="O41" s="35" t="str">
        <x:v>Not Started</x:v>
      </x:c>
      <x:c r="P41" s="36"/>
      <x:c r="Q41" s="35" t="str"/>
      <x:c r="R41" s="35" t="str">
        <x:v>Unknown</x:v>
      </x:c>
      <x:c r="S41" s="35" t="str"/>
      <x:c r="T41" s="36"/>
      <x:c r="U41" s="35" t="str"/>
      <x:c r="V41" s="35" t="str"/>
      <x:c r="W41" s="35" t="str"/>
      <x:c r="X41" s="35" t="str"/>
      <x:c r="Y41" s="35" t="str">
        <x:v>Not Started</x:v>
      </x:c>
      <x:c r="Z41" s="35" t="str"/>
      <x:c r="AA41" s="35" t="str">
        <x:v>No Exact Hit</x:v>
      </x:c>
      <x:c r="AB41" s="35" t="str">
        <x:v>Unassessed</x:v>
      </x:c>
      <x:c r="AC41" s="35" t="str"/>
      <x:c r="AD41" s="37" t="str"/>
    </x:row>
    <x:row r="42">
      <x:c r="A42" s="50" t="str">
        <x:v>689446</x:v>
      </x:c>
      <x:c r="B42" s="35" t="str">
        <x:v>GREYSTONE ACRES, INC.</x:v>
      </x:c>
      <x:c r="C42" s="35" t="str">
        <x:v>CORPORATION FOR PROFIT</x:v>
      </x:c>
      <x:c r="D42" s="36" t="n">
        <x:v>32128</x:v>
      </x:c>
      <x:c r="E42" s="35" t="n">
        <x:f>YEAR(D42)</x:f>
        <x:v>1987</x:v>
      </x:c>
      <x:c r="F42" s="35" t="str">
        <x:f>TEXT(D42,"yyyy-mm")</x:f>
        <x:v>1987-12</x:v>
      </x:c>
      <x:c r="G42" s="35" t="n">
        <x:f>COUNTIF($D$2:$D$102,D42)</x:f>
        <x:v>10</x:v>
      </x:c>
      <x:c r="H42" s="35" t="str">
        <x:v>Dead</x:v>
      </x:c>
      <x:c r="I42" s="35" t="str">
        <x:v>COLUMBUS</x:v>
      </x:c>
      <x:c r="J42" s="35" t="str">
        <x:v>FRANKLIN</x:v>
      </x:c>
      <x:c r="K42" s="35" t="str">
        <x:v>OHIO</x:v>
      </x:c>
      <x:c r="L42" s="35" t="str">
        <x:v>Property-suggestive name</x:v>
      </x:c>
      <x:c r="M42" s="35" t="str"/>
      <x:c r="N42" s="35" t="str">
        <x:f>IF(M42&lt;&gt;"","1 - Anchor",IF(L42="Explicit network-name lead","1 - Network lead",IF(G42&gt;=6,"2 - Date batch","3 - Baseline")))</x:f>
        <x:v>2 - Date batch</x:v>
      </x:c>
      <x:c r="O42" s="35" t="str">
        <x:v>Not Started</x:v>
      </x:c>
      <x:c r="P42" s="36"/>
      <x:c r="Q42" s="35" t="str"/>
      <x:c r="R42" s="35" t="str">
        <x:v>Unknown</x:v>
      </x:c>
      <x:c r="S42" s="35" t="str"/>
      <x:c r="T42" s="36"/>
      <x:c r="U42" s="35" t="str"/>
      <x:c r="V42" s="35" t="str"/>
      <x:c r="W42" s="35" t="str"/>
      <x:c r="X42" s="35" t="str"/>
      <x:c r="Y42" s="35" t="str">
        <x:v>Not Started</x:v>
      </x:c>
      <x:c r="Z42" s="35" t="str"/>
      <x:c r="AA42" s="35" t="str">
        <x:v>No Exact Hit</x:v>
      </x:c>
      <x:c r="AB42" s="35" t="str">
        <x:v>Unassessed</x:v>
      </x:c>
      <x:c r="AC42" s="35" t="str"/>
      <x:c r="AD42" s="37" t="str"/>
    </x:row>
    <x:row r="43">
      <x:c r="A43" s="50" t="str">
        <x:v>714670</x:v>
      </x:c>
      <x:c r="B43" s="35" t="str">
        <x:v>BLUEBERRY RIDGE PROPERTIES, INC.</x:v>
      </x:c>
      <x:c r="C43" s="35" t="str">
        <x:v>CORPORATION FOR PROFIT</x:v>
      </x:c>
      <x:c r="D43" s="36" t="n">
        <x:v>32133</x:v>
      </x:c>
      <x:c r="E43" s="35" t="n">
        <x:f>YEAR(D43)</x:f>
        <x:v>1987</x:v>
      </x:c>
      <x:c r="F43" s="35" t="str">
        <x:f>TEXT(D43,"yyyy-mm")</x:f>
        <x:v>1987-12</x:v>
      </x:c>
      <x:c r="G43" s="35" t="n">
        <x:f>COUNTIF($D$2:$D$102,D43)</x:f>
        <x:v>8</x:v>
      </x:c>
      <x:c r="H43" s="35" t="str">
        <x:v>Dead</x:v>
      </x:c>
      <x:c r="I43" s="35" t="str">
        <x:v>COLUMBUS</x:v>
      </x:c>
      <x:c r="J43" s="35" t="str">
        <x:v>FRANKLIN</x:v>
      </x:c>
      <x:c r="K43" s="35" t="str">
        <x:v>OHIO</x:v>
      </x:c>
      <x:c r="L43" s="35" t="str">
        <x:v>Property-suggestive name</x:v>
      </x:c>
      <x:c r="M43" s="35" t="str"/>
      <x:c r="N43" s="35" t="str">
        <x:f>IF(M43&lt;&gt;"","1 - Anchor",IF(L43="Explicit network-name lead","1 - Network lead",IF(G43&gt;=6,"2 - Date batch","3 - Baseline")))</x:f>
        <x:v>2 - Date batch</x:v>
      </x:c>
      <x:c r="O43" s="35" t="str">
        <x:v>Not Started</x:v>
      </x:c>
      <x:c r="P43" s="36"/>
      <x:c r="Q43" s="35" t="str"/>
      <x:c r="R43" s="35" t="str">
        <x:v>Unknown</x:v>
      </x:c>
      <x:c r="S43" s="35" t="str"/>
      <x:c r="T43" s="36"/>
      <x:c r="U43" s="35" t="str"/>
      <x:c r="V43" s="35" t="str"/>
      <x:c r="W43" s="35" t="str"/>
      <x:c r="X43" s="35" t="str"/>
      <x:c r="Y43" s="35" t="str">
        <x:v>Not Started</x:v>
      </x:c>
      <x:c r="Z43" s="35" t="str"/>
      <x:c r="AA43" s="35" t="str">
        <x:v>No Exact Hit</x:v>
      </x:c>
      <x:c r="AB43" s="35" t="str">
        <x:v>Unassessed</x:v>
      </x:c>
      <x:c r="AC43" s="35" t="str"/>
      <x:c r="AD43" s="37" t="str"/>
    </x:row>
    <x:row r="44">
      <x:c r="A44" s="50" t="str">
        <x:v>714673</x:v>
      </x:c>
      <x:c r="B44" s="35" t="str">
        <x:v>CEDAR CANYON PROPERTIES, INC.</x:v>
      </x:c>
      <x:c r="C44" s="35" t="str">
        <x:v>CORPORATION FOR PROFIT</x:v>
      </x:c>
      <x:c r="D44" s="36" t="n">
        <x:v>32133</x:v>
      </x:c>
      <x:c r="E44" s="35" t="n">
        <x:f>YEAR(D44)</x:f>
        <x:v>1987</x:v>
      </x:c>
      <x:c r="F44" s="35" t="str">
        <x:f>TEXT(D44,"yyyy-mm")</x:f>
        <x:v>1987-12</x:v>
      </x:c>
      <x:c r="G44" s="35" t="n">
        <x:f>COUNTIF($D$2:$D$102,D44)</x:f>
        <x:v>8</x:v>
      </x:c>
      <x:c r="H44" s="35" t="str">
        <x:v>Dead</x:v>
      </x:c>
      <x:c r="I44" s="35" t="str">
        <x:v>COLUMBUS</x:v>
      </x:c>
      <x:c r="J44" s="35" t="str">
        <x:v>FRANKLIN</x:v>
      </x:c>
      <x:c r="K44" s="35" t="str">
        <x:v>OHIO</x:v>
      </x:c>
      <x:c r="L44" s="35" t="str">
        <x:v>Property-suggestive name</x:v>
      </x:c>
      <x:c r="M44" s="35" t="str"/>
      <x:c r="N44" s="35" t="str">
        <x:f>IF(M44&lt;&gt;"","1 - Anchor",IF(L44="Explicit network-name lead","1 - Network lead",IF(G44&gt;=6,"2 - Date batch","3 - Baseline")))</x:f>
        <x:v>2 - Date batch</x:v>
      </x:c>
      <x:c r="O44" s="35" t="str">
        <x:v>Not Started</x:v>
      </x:c>
      <x:c r="P44" s="36"/>
      <x:c r="Q44" s="35" t="str"/>
      <x:c r="R44" s="35" t="str">
        <x:v>Unknown</x:v>
      </x:c>
      <x:c r="S44" s="35" t="str"/>
      <x:c r="T44" s="36"/>
      <x:c r="U44" s="35" t="str"/>
      <x:c r="V44" s="35" t="str"/>
      <x:c r="W44" s="35" t="str"/>
      <x:c r="X44" s="35" t="str"/>
      <x:c r="Y44" s="35" t="str">
        <x:v>Not Started</x:v>
      </x:c>
      <x:c r="Z44" s="35" t="str"/>
      <x:c r="AA44" s="35" t="str">
        <x:v>No Exact Hit</x:v>
      </x:c>
      <x:c r="AB44" s="35" t="str">
        <x:v>Unassessed</x:v>
      </x:c>
      <x:c r="AC44" s="35" t="str"/>
      <x:c r="AD44" s="37" t="str"/>
    </x:row>
    <x:row r="45">
      <x:c r="A45" s="50" t="str">
        <x:v>714674</x:v>
      </x:c>
      <x:c r="B45" s="35" t="str">
        <x:v>CHESTNUT HEIGHTS CORPORATION</x:v>
      </x:c>
      <x:c r="C45" s="35" t="str">
        <x:v>CORPORATION FOR PROFIT</x:v>
      </x:c>
      <x:c r="D45" s="36" t="n">
        <x:v>32133</x:v>
      </x:c>
      <x:c r="E45" s="35" t="n">
        <x:f>YEAR(D45)</x:f>
        <x:v>1987</x:v>
      </x:c>
      <x:c r="F45" s="35" t="str">
        <x:f>TEXT(D45,"yyyy-mm")</x:f>
        <x:v>1987-12</x:v>
      </x:c>
      <x:c r="G45" s="35" t="n">
        <x:f>COUNTIF($D$2:$D$102,D45)</x:f>
        <x:v>8</x:v>
      </x:c>
      <x:c r="H45" s="35" t="str">
        <x:v>Dead</x:v>
      </x:c>
      <x:c r="I45" s="35" t="str">
        <x:v>COLUMBUS</x:v>
      </x:c>
      <x:c r="J45" s="35" t="str">
        <x:v>FRANKLIN</x:v>
      </x:c>
      <x:c r="K45" s="35" t="str">
        <x:v>OHIO</x:v>
      </x:c>
      <x:c r="L45" s="35" t="str">
        <x:v>Property-suggestive name</x:v>
      </x:c>
      <x:c r="M45" s="35" t="str"/>
      <x:c r="N45" s="35" t="str">
        <x:f>IF(M45&lt;&gt;"","1 - Anchor",IF(L45="Explicit network-name lead","1 - Network lead",IF(G45&gt;=6,"2 - Date batch","3 - Baseline")))</x:f>
        <x:v>2 - Date batch</x:v>
      </x:c>
      <x:c r="O45" s="35" t="str">
        <x:v>Not Started</x:v>
      </x:c>
      <x:c r="P45" s="36"/>
      <x:c r="Q45" s="35" t="str"/>
      <x:c r="R45" s="35" t="str">
        <x:v>Unknown</x:v>
      </x:c>
      <x:c r="S45" s="35" t="str"/>
      <x:c r="T45" s="36"/>
      <x:c r="U45" s="35" t="str"/>
      <x:c r="V45" s="35" t="str"/>
      <x:c r="W45" s="35" t="str"/>
      <x:c r="X45" s="35" t="str"/>
      <x:c r="Y45" s="35" t="str">
        <x:v>Not Started</x:v>
      </x:c>
      <x:c r="Z45" s="35" t="str"/>
      <x:c r="AA45" s="35" t="str">
        <x:v>No Exact Hit</x:v>
      </x:c>
      <x:c r="AB45" s="35" t="str">
        <x:v>Unassessed</x:v>
      </x:c>
      <x:c r="AC45" s="35" t="str"/>
      <x:c r="AD45" s="37" t="str"/>
    </x:row>
    <x:row r="46">
      <x:c r="A46" s="50" t="str">
        <x:v>714676</x:v>
      </x:c>
      <x:c r="B46" s="35" t="str">
        <x:v>DEERFIELD MEADOWS, INC.</x:v>
      </x:c>
      <x:c r="C46" s="35" t="str">
        <x:v>CORPORATION FOR PROFIT</x:v>
      </x:c>
      <x:c r="D46" s="36" t="n">
        <x:v>32133</x:v>
      </x:c>
      <x:c r="E46" s="35" t="n">
        <x:f>YEAR(D46)</x:f>
        <x:v>1987</x:v>
      </x:c>
      <x:c r="F46" s="35" t="str">
        <x:f>TEXT(D46,"yyyy-mm")</x:f>
        <x:v>1987-12</x:v>
      </x:c>
      <x:c r="G46" s="35" t="n">
        <x:f>COUNTIF($D$2:$D$102,D46)</x:f>
        <x:v>8</x:v>
      </x:c>
      <x:c r="H46" s="35" t="str">
        <x:v>Dead</x:v>
      </x:c>
      <x:c r="I46" s="35" t="str">
        <x:v>COLUMBUS</x:v>
      </x:c>
      <x:c r="J46" s="35" t="str">
        <x:v>FRANKLIN</x:v>
      </x:c>
      <x:c r="K46" s="35" t="str">
        <x:v>OHIO</x:v>
      </x:c>
      <x:c r="L46" s="35" t="str">
        <x:v>Property-suggestive name</x:v>
      </x:c>
      <x:c r="M46" s="35" t="str"/>
      <x:c r="N46" s="35" t="str">
        <x:f>IF(M46&lt;&gt;"","1 - Anchor",IF(L46="Explicit network-name lead","1 - Network lead",IF(G46&gt;=6,"2 - Date batch","3 - Baseline")))</x:f>
        <x:v>2 - Date batch</x:v>
      </x:c>
      <x:c r="O46" s="35" t="str">
        <x:v>Not Started</x:v>
      </x:c>
      <x:c r="P46" s="36"/>
      <x:c r="Q46" s="35" t="str"/>
      <x:c r="R46" s="35" t="str">
        <x:v>Unknown</x:v>
      </x:c>
      <x:c r="S46" s="35" t="str"/>
      <x:c r="T46" s="36"/>
      <x:c r="U46" s="35" t="str"/>
      <x:c r="V46" s="35" t="str"/>
      <x:c r="W46" s="35" t="str"/>
      <x:c r="X46" s="35" t="str"/>
      <x:c r="Y46" s="35" t="str">
        <x:v>Not Started</x:v>
      </x:c>
      <x:c r="Z46" s="35" t="str"/>
      <x:c r="AA46" s="35" t="str">
        <x:v>No Exact Hit</x:v>
      </x:c>
      <x:c r="AB46" s="35" t="str">
        <x:v>Unassessed</x:v>
      </x:c>
      <x:c r="AC46" s="35" t="str"/>
      <x:c r="AD46" s="37" t="str"/>
    </x:row>
    <x:row r="47">
      <x:c r="A47" s="50" t="str">
        <x:v>714672</x:v>
      </x:c>
      <x:c r="B47" s="35" t="str">
        <x:v>PLATEAU ACRES INCORPORATED</x:v>
      </x:c>
      <x:c r="C47" s="35" t="str">
        <x:v>CORPORATION FOR PROFIT</x:v>
      </x:c>
      <x:c r="D47" s="36" t="n">
        <x:v>32133</x:v>
      </x:c>
      <x:c r="E47" s="35" t="n">
        <x:f>YEAR(D47)</x:f>
        <x:v>1987</x:v>
      </x:c>
      <x:c r="F47" s="35" t="str">
        <x:f>TEXT(D47,"yyyy-mm")</x:f>
        <x:v>1987-12</x:v>
      </x:c>
      <x:c r="G47" s="35" t="n">
        <x:f>COUNTIF($D$2:$D$102,D47)</x:f>
        <x:v>8</x:v>
      </x:c>
      <x:c r="H47" s="35" t="str">
        <x:v>Dead</x:v>
      </x:c>
      <x:c r="I47" s="35" t="str">
        <x:v>COLUMBUS</x:v>
      </x:c>
      <x:c r="J47" s="35" t="str">
        <x:v>FRANKLIN</x:v>
      </x:c>
      <x:c r="K47" s="35" t="str">
        <x:v>OHIO</x:v>
      </x:c>
      <x:c r="L47" s="35" t="str">
        <x:v>Property-suggestive name</x:v>
      </x:c>
      <x:c r="M47" s="35" t="str"/>
      <x:c r="N47" s="35" t="str">
        <x:f>IF(M47&lt;&gt;"","1 - Anchor",IF(L47="Explicit network-name lead","1 - Network lead",IF(G47&gt;=6,"2 - Date batch","3 - Baseline")))</x:f>
        <x:v>2 - Date batch</x:v>
      </x:c>
      <x:c r="O47" s="35" t="str">
        <x:v>Not Started</x:v>
      </x:c>
      <x:c r="P47" s="36"/>
      <x:c r="Q47" s="35" t="str"/>
      <x:c r="R47" s="35" t="str">
        <x:v>Unknown</x:v>
      </x:c>
      <x:c r="S47" s="35" t="str"/>
      <x:c r="T47" s="36"/>
      <x:c r="U47" s="35" t="str"/>
      <x:c r="V47" s="35" t="str"/>
      <x:c r="W47" s="35" t="str"/>
      <x:c r="X47" s="35" t="str"/>
      <x:c r="Y47" s="35" t="str">
        <x:v>Not Started</x:v>
      </x:c>
      <x:c r="Z47" s="35" t="str"/>
      <x:c r="AA47" s="35" t="str">
        <x:v>No Exact Hit</x:v>
      </x:c>
      <x:c r="AB47" s="35" t="str">
        <x:v>Unassessed</x:v>
      </x:c>
      <x:c r="AC47" s="35" t="str"/>
      <x:c r="AD47" s="37" t="str"/>
    </x:row>
    <x:row r="48">
      <x:c r="A48" s="50" t="str">
        <x:v>714669</x:v>
      </x:c>
      <x:c r="B48" s="35" t="str">
        <x:v>ROCKYRIDGE DEVELOPMENT CORP.</x:v>
      </x:c>
      <x:c r="C48" s="35" t="str">
        <x:v>CORPORATION FOR PROFIT</x:v>
      </x:c>
      <x:c r="D48" s="36" t="n">
        <x:v>32133</x:v>
      </x:c>
      <x:c r="E48" s="35" t="n">
        <x:f>YEAR(D48)</x:f>
        <x:v>1987</x:v>
      </x:c>
      <x:c r="F48" s="35" t="str">
        <x:f>TEXT(D48,"yyyy-mm")</x:f>
        <x:v>1987-12</x:v>
      </x:c>
      <x:c r="G48" s="35" t="n">
        <x:f>COUNTIF($D$2:$D$102,D48)</x:f>
        <x:v>8</x:v>
      </x:c>
      <x:c r="H48" s="35" t="str">
        <x:v>Dead</x:v>
      </x:c>
      <x:c r="I48" s="35" t="str">
        <x:v>COLUMBUS</x:v>
      </x:c>
      <x:c r="J48" s="35" t="str">
        <x:v>FRANKLIN</x:v>
      </x:c>
      <x:c r="K48" s="35" t="str">
        <x:v>OHIO</x:v>
      </x:c>
      <x:c r="L48" s="35" t="str">
        <x:v>Property-suggestive name</x:v>
      </x:c>
      <x:c r="M48" s="35" t="str"/>
      <x:c r="N48" s="35" t="str">
        <x:f>IF(M48&lt;&gt;"","1 - Anchor",IF(L48="Explicit network-name lead","1 - Network lead",IF(G48&gt;=6,"2 - Date batch","3 - Baseline")))</x:f>
        <x:v>2 - Date batch</x:v>
      </x:c>
      <x:c r="O48" s="35" t="str">
        <x:v>Not Started</x:v>
      </x:c>
      <x:c r="P48" s="36"/>
      <x:c r="Q48" s="35" t="str"/>
      <x:c r="R48" s="35" t="str">
        <x:v>Unknown</x:v>
      </x:c>
      <x:c r="S48" s="35" t="str"/>
      <x:c r="T48" s="36"/>
      <x:c r="U48" s="35" t="str"/>
      <x:c r="V48" s="35" t="str"/>
      <x:c r="W48" s="35" t="str"/>
      <x:c r="X48" s="35" t="str"/>
      <x:c r="Y48" s="35" t="str">
        <x:v>Not Started</x:v>
      </x:c>
      <x:c r="Z48" s="35" t="str"/>
      <x:c r="AA48" s="35" t="str">
        <x:v>No Exact Hit</x:v>
      </x:c>
      <x:c r="AB48" s="35" t="str">
        <x:v>Unassessed</x:v>
      </x:c>
      <x:c r="AC48" s="35" t="str"/>
      <x:c r="AD48" s="37" t="str"/>
    </x:row>
    <x:row r="49">
      <x:c r="A49" s="50" t="str">
        <x:v>714675</x:v>
      </x:c>
      <x:c r="B49" s="35" t="str">
        <x:v>SPRING HARBOR PROPERTIES, INC.</x:v>
      </x:c>
      <x:c r="C49" s="35" t="str">
        <x:v>CORPORATION FOR PROFIT</x:v>
      </x:c>
      <x:c r="D49" s="36" t="n">
        <x:v>32133</x:v>
      </x:c>
      <x:c r="E49" s="35" t="n">
        <x:f>YEAR(D49)</x:f>
        <x:v>1987</x:v>
      </x:c>
      <x:c r="F49" s="35" t="str">
        <x:f>TEXT(D49,"yyyy-mm")</x:f>
        <x:v>1987-12</x:v>
      </x:c>
      <x:c r="G49" s="35" t="n">
        <x:f>COUNTIF($D$2:$D$102,D49)</x:f>
        <x:v>8</x:v>
      </x:c>
      <x:c r="H49" s="35" t="str">
        <x:v>Dead</x:v>
      </x:c>
      <x:c r="I49" s="35" t="str">
        <x:v>COLUMBUS</x:v>
      </x:c>
      <x:c r="J49" s="35" t="str">
        <x:v>FRANKLIN</x:v>
      </x:c>
      <x:c r="K49" s="35" t="str">
        <x:v>OHIO</x:v>
      </x:c>
      <x:c r="L49" s="35" t="str">
        <x:v>Property-suggestive name</x:v>
      </x:c>
      <x:c r="M49" s="35" t="str"/>
      <x:c r="N49" s="35" t="str">
        <x:f>IF(M49&lt;&gt;"","1 - Anchor",IF(L49="Explicit network-name lead","1 - Network lead",IF(G49&gt;=6,"2 - Date batch","3 - Baseline")))</x:f>
        <x:v>2 - Date batch</x:v>
      </x:c>
      <x:c r="O49" s="35" t="str">
        <x:v>Not Started</x:v>
      </x:c>
      <x:c r="P49" s="36"/>
      <x:c r="Q49" s="35" t="str"/>
      <x:c r="R49" s="35" t="str">
        <x:v>Unknown</x:v>
      </x:c>
      <x:c r="S49" s="35" t="str"/>
      <x:c r="T49" s="36"/>
      <x:c r="U49" s="35" t="str"/>
      <x:c r="V49" s="35" t="str"/>
      <x:c r="W49" s="35" t="str"/>
      <x:c r="X49" s="35" t="str"/>
      <x:c r="Y49" s="35" t="str">
        <x:v>Not Started</x:v>
      </x:c>
      <x:c r="Z49" s="35" t="str"/>
      <x:c r="AA49" s="35" t="str">
        <x:v>No Exact Hit</x:v>
      </x:c>
      <x:c r="AB49" s="35" t="str">
        <x:v>Unassessed</x:v>
      </x:c>
      <x:c r="AC49" s="35" t="str"/>
      <x:c r="AD49" s="37" t="str"/>
    </x:row>
    <x:row r="50">
      <x:c r="A50" s="50" t="str">
        <x:v>714671</x:v>
      </x:c>
      <x:c r="B50" s="35" t="str">
        <x:v>TUMBLEWEED ESTATES, INC.</x:v>
      </x:c>
      <x:c r="C50" s="35" t="str">
        <x:v>CORPORATION FOR PROFIT</x:v>
      </x:c>
      <x:c r="D50" s="36" t="n">
        <x:v>32133</x:v>
      </x:c>
      <x:c r="E50" s="35" t="n">
        <x:f>YEAR(D50)</x:f>
        <x:v>1987</x:v>
      </x:c>
      <x:c r="F50" s="35" t="str">
        <x:f>TEXT(D50,"yyyy-mm")</x:f>
        <x:v>1987-12</x:v>
      </x:c>
      <x:c r="G50" s="35" t="n">
        <x:f>COUNTIF($D$2:$D$102,D50)</x:f>
        <x:v>8</x:v>
      </x:c>
      <x:c r="H50" s="35" t="str">
        <x:v>Dead</x:v>
      </x:c>
      <x:c r="I50" s="35" t="str">
        <x:v>COLUMBUS</x:v>
      </x:c>
      <x:c r="J50" s="35" t="str">
        <x:v>FRANKLIN</x:v>
      </x:c>
      <x:c r="K50" s="35" t="str">
        <x:v>OHIO</x:v>
      </x:c>
      <x:c r="L50" s="35" t="str">
        <x:v>Property-suggestive name</x:v>
      </x:c>
      <x:c r="M50" s="35" t="str"/>
      <x:c r="N50" s="35" t="str">
        <x:f>IF(M50&lt;&gt;"","1 - Anchor",IF(L50="Explicit network-name lead","1 - Network lead",IF(G50&gt;=6,"2 - Date batch","3 - Baseline")))</x:f>
        <x:v>2 - Date batch</x:v>
      </x:c>
      <x:c r="O50" s="35" t="str">
        <x:v>Not Started</x:v>
      </x:c>
      <x:c r="P50" s="36"/>
      <x:c r="Q50" s="35" t="str"/>
      <x:c r="R50" s="35" t="str">
        <x:v>Unknown</x:v>
      </x:c>
      <x:c r="S50" s="35" t="str"/>
      <x:c r="T50" s="36"/>
      <x:c r="U50" s="35" t="str"/>
      <x:c r="V50" s="35" t="str"/>
      <x:c r="W50" s="35" t="str"/>
      <x:c r="X50" s="35" t="str"/>
      <x:c r="Y50" s="35" t="str">
        <x:v>Not Started</x:v>
      </x:c>
      <x:c r="Z50" s="35" t="str"/>
      <x:c r="AA50" s="35" t="str">
        <x:v>No Exact Hit</x:v>
      </x:c>
      <x:c r="AB50" s="35" t="str">
        <x:v>Unassessed</x:v>
      </x:c>
      <x:c r="AC50" s="35" t="str"/>
      <x:c r="AD50" s="37" t="str"/>
    </x:row>
    <x:row r="51">
      <x:c r="A51" s="50" t="str">
        <x:v>719718</x:v>
      </x:c>
      <x:c r="B51" s="35" t="str">
        <x:v>CHERRY BOTTOM INVESTORS, INC.</x:v>
      </x:c>
      <x:c r="C51" s="35" t="str">
        <x:v>CORPORATION FOR PROFIT</x:v>
      </x:c>
      <x:c r="D51" s="36" t="n">
        <x:v>32204</x:v>
      </x:c>
      <x:c r="E51" s="35" t="n">
        <x:f>YEAR(D51)</x:f>
        <x:v>1988</x:v>
      </x:c>
      <x:c r="F51" s="35" t="str">
        <x:f>TEXT(D51,"yyyy-mm")</x:f>
        <x:v>1988-03</x:v>
      </x:c>
      <x:c r="G51" s="35" t="n">
        <x:f>COUNTIF($D$2:$D$102,D51)</x:f>
        <x:v>1</x:v>
      </x:c>
      <x:c r="H51" s="35" t="str">
        <x:v>Dead</x:v>
      </x:c>
      <x:c r="I51" s="35" t="str">
        <x:v>COLUMBUS</x:v>
      </x:c>
      <x:c r="J51" s="35" t="str">
        <x:v>FRANKLIN</x:v>
      </x:c>
      <x:c r="K51" s="35" t="str">
        <x:v>OHIO</x:v>
      </x:c>
      <x:c r="L51" s="35" t="str">
        <x:v>Investment/holding/management name</x:v>
      </x:c>
      <x:c r="M51" s="35" t="str"/>
      <x:c r="N51" s="35" t="str">
        <x:f>IF(M51&lt;&gt;"","1 - Anchor",IF(L51="Explicit network-name lead","1 - Network lead",IF(G51&gt;=6,"2 - Date batch","3 - Baseline")))</x:f>
        <x:v>3 - Baseline</x:v>
      </x:c>
      <x:c r="O51" s="35" t="str">
        <x:v>Not Started</x:v>
      </x:c>
      <x:c r="P51" s="36"/>
      <x:c r="Q51" s="35" t="str"/>
      <x:c r="R51" s="35" t="str">
        <x:v>Unknown</x:v>
      </x:c>
      <x:c r="S51" s="35" t="str"/>
      <x:c r="T51" s="36"/>
      <x:c r="U51" s="35" t="str"/>
      <x:c r="V51" s="35" t="str"/>
      <x:c r="W51" s="35" t="str"/>
      <x:c r="X51" s="35" t="str"/>
      <x:c r="Y51" s="35" t="str">
        <x:v>Not Started</x:v>
      </x:c>
      <x:c r="Z51" s="35" t="str"/>
      <x:c r="AA51" s="35" t="str">
        <x:v>No Exact Hit</x:v>
      </x:c>
      <x:c r="AB51" s="35" t="str">
        <x:v>Unassessed</x:v>
      </x:c>
      <x:c r="AC51" s="35" t="str"/>
      <x:c r="AD51" s="37" t="str"/>
    </x:row>
    <x:row r="52">
      <x:c r="A52" s="50" t="str">
        <x:v>719941</x:v>
      </x:c>
      <x:c r="B52" s="35" t="str">
        <x:v>FORDHAM INVESTMENT, INC.</x:v>
      </x:c>
      <x:c r="C52" s="35" t="str">
        <x:v>CORPORATION FOR PROFIT</x:v>
      </x:c>
      <x:c r="D52" s="36" t="n">
        <x:v>32206</x:v>
      </x:c>
      <x:c r="E52" s="35" t="n">
        <x:f>YEAR(D52)</x:f>
        <x:v>1988</x:v>
      </x:c>
      <x:c r="F52" s="35" t="str">
        <x:f>TEXT(D52,"yyyy-mm")</x:f>
        <x:v>1988-03</x:v>
      </x:c>
      <x:c r="G52" s="35" t="n">
        <x:f>COUNTIF($D$2:$D$102,D52)</x:f>
        <x:v>6</x:v>
      </x:c>
      <x:c r="H52" s="35" t="str">
        <x:v>Dead</x:v>
      </x:c>
      <x:c r="I52" s="35" t="str">
        <x:v>COLUMBUS</x:v>
      </x:c>
      <x:c r="J52" s="35" t="str">
        <x:v>FRANKLIN</x:v>
      </x:c>
      <x:c r="K52" s="35" t="str">
        <x:v>OHIO</x:v>
      </x:c>
      <x:c r="L52" s="35" t="str">
        <x:v>Investment/holding/management name</x:v>
      </x:c>
      <x:c r="M52" s="35" t="str"/>
      <x:c r="N52" s="35" t="str">
        <x:f>IF(M52&lt;&gt;"","1 - Anchor",IF(L52="Explicit network-name lead","1 - Network lead",IF(G52&gt;=6,"2 - Date batch","3 - Baseline")))</x:f>
        <x:v>2 - Date batch</x:v>
      </x:c>
      <x:c r="O52" s="35" t="str">
        <x:v>Not Started</x:v>
      </x:c>
      <x:c r="P52" s="36"/>
      <x:c r="Q52" s="35" t="str"/>
      <x:c r="R52" s="35" t="str">
        <x:v>Unknown</x:v>
      </x:c>
      <x:c r="S52" s="35" t="str"/>
      <x:c r="T52" s="36"/>
      <x:c r="U52" s="35" t="str"/>
      <x:c r="V52" s="35" t="str"/>
      <x:c r="W52" s="35" t="str"/>
      <x:c r="X52" s="35" t="str"/>
      <x:c r="Y52" s="35" t="str">
        <x:v>Not Started</x:v>
      </x:c>
      <x:c r="Z52" s="35" t="str"/>
      <x:c r="AA52" s="35" t="str">
        <x:v>No Exact Hit</x:v>
      </x:c>
      <x:c r="AB52" s="35" t="str">
        <x:v>Unassessed</x:v>
      </x:c>
      <x:c r="AC52" s="35" t="str"/>
      <x:c r="AD52" s="37" t="str"/>
    </x:row>
    <x:row r="53">
      <x:c r="A53" s="50" t="str">
        <x:v>719946</x:v>
      </x:c>
      <x:c r="B53" s="35" t="str">
        <x:v>FORREST FARMS, INC.</x:v>
      </x:c>
      <x:c r="C53" s="35" t="str">
        <x:v>CORPORATION FOR PROFIT</x:v>
      </x:c>
      <x:c r="D53" s="36" t="n">
        <x:v>32206</x:v>
      </x:c>
      <x:c r="E53" s="35" t="n">
        <x:f>YEAR(D53)</x:f>
        <x:v>1988</x:v>
      </x:c>
      <x:c r="F53" s="35" t="str">
        <x:f>TEXT(D53,"yyyy-mm")</x:f>
        <x:v>1988-03</x:v>
      </x:c>
      <x:c r="G53" s="35" t="n">
        <x:f>COUNTIF($D$2:$D$102,D53)</x:f>
        <x:v>6</x:v>
      </x:c>
      <x:c r="H53" s="35" t="str">
        <x:v>Dead</x:v>
      </x:c>
      <x:c r="I53" s="35" t="str">
        <x:v>COLUMBUS</x:v>
      </x:c>
      <x:c r="J53" s="35" t="str">
        <x:v>FRANKLIN</x:v>
      </x:c>
      <x:c r="K53" s="35" t="str">
        <x:v>OHIO</x:v>
      </x:c>
      <x:c r="L53" s="35" t="str">
        <x:v>Property-suggestive name</x:v>
      </x:c>
      <x:c r="M53" s="35" t="str"/>
      <x:c r="N53" s="35" t="str">
        <x:f>IF(M53&lt;&gt;"","1 - Anchor",IF(L53="Explicit network-name lead","1 - Network lead",IF(G53&gt;=6,"2 - Date batch","3 - Baseline")))</x:f>
        <x:v>2 - Date batch</x:v>
      </x:c>
      <x:c r="O53" s="35" t="str">
        <x:v>Not Started</x:v>
      </x:c>
      <x:c r="P53" s="36"/>
      <x:c r="Q53" s="35" t="str"/>
      <x:c r="R53" s="35" t="str">
        <x:v>Unknown</x:v>
      </x:c>
      <x:c r="S53" s="35" t="str"/>
      <x:c r="T53" s="36"/>
      <x:c r="U53" s="35" t="str"/>
      <x:c r="V53" s="35" t="str"/>
      <x:c r="W53" s="35" t="str"/>
      <x:c r="X53" s="35" t="str"/>
      <x:c r="Y53" s="35" t="str">
        <x:v>Not Started</x:v>
      </x:c>
      <x:c r="Z53" s="35" t="str"/>
      <x:c r="AA53" s="35" t="str">
        <x:v>No Exact Hit</x:v>
      </x:c>
      <x:c r="AB53" s="35" t="str">
        <x:v>Unassessed</x:v>
      </x:c>
      <x:c r="AC53" s="35" t="str"/>
      <x:c r="AD53" s="37" t="str"/>
    </x:row>
    <x:row r="54">
      <x:c r="A54" s="50" t="str">
        <x:v>719942</x:v>
      </x:c>
      <x:c r="B54" s="35" t="str">
        <x:v>LINDEN ACRES, INC.</x:v>
      </x:c>
      <x:c r="C54" s="35" t="str">
        <x:v>CORPORATION FOR PROFIT</x:v>
      </x:c>
      <x:c r="D54" s="36" t="n">
        <x:v>32206</x:v>
      </x:c>
      <x:c r="E54" s="35" t="n">
        <x:f>YEAR(D54)</x:f>
        <x:v>1988</x:v>
      </x:c>
      <x:c r="F54" s="35" t="str">
        <x:f>TEXT(D54,"yyyy-mm")</x:f>
        <x:v>1988-03</x:v>
      </x:c>
      <x:c r="G54" s="35" t="n">
        <x:f>COUNTIF($D$2:$D$102,D54)</x:f>
        <x:v>6</x:v>
      </x:c>
      <x:c r="H54" s="35" t="str">
        <x:v>Dead</x:v>
      </x:c>
      <x:c r="I54" s="35" t="str">
        <x:v>COLUMBUS</x:v>
      </x:c>
      <x:c r="J54" s="35" t="str">
        <x:v>FRANKLIN</x:v>
      </x:c>
      <x:c r="K54" s="35" t="str">
        <x:v>OHIO</x:v>
      </x:c>
      <x:c r="L54" s="35" t="str">
        <x:v>Property-suggestive name</x:v>
      </x:c>
      <x:c r="M54" s="35" t="str"/>
      <x:c r="N54" s="35" t="str">
        <x:f>IF(M54&lt;&gt;"","1 - Anchor",IF(L54="Explicit network-name lead","1 - Network lead",IF(G54&gt;=6,"2 - Date batch","3 - Baseline")))</x:f>
        <x:v>2 - Date batch</x:v>
      </x:c>
      <x:c r="O54" s="35" t="str">
        <x:v>Not Started</x:v>
      </x:c>
      <x:c r="P54" s="36"/>
      <x:c r="Q54" s="35" t="str"/>
      <x:c r="R54" s="35" t="str">
        <x:v>Unknown</x:v>
      </x:c>
      <x:c r="S54" s="35" t="str"/>
      <x:c r="T54" s="36"/>
      <x:c r="U54" s="35" t="str"/>
      <x:c r="V54" s="35" t="str"/>
      <x:c r="W54" s="35" t="str"/>
      <x:c r="X54" s="35" t="str"/>
      <x:c r="Y54" s="35" t="str">
        <x:v>Not Started</x:v>
      </x:c>
      <x:c r="Z54" s="35" t="str"/>
      <x:c r="AA54" s="35" t="str">
        <x:v>No Exact Hit</x:v>
      </x:c>
      <x:c r="AB54" s="35" t="str">
        <x:v>Unassessed</x:v>
      </x:c>
      <x:c r="AC54" s="35" t="str"/>
      <x:c r="AD54" s="37" t="str"/>
    </x:row>
    <x:row r="55">
      <x:c r="A55" s="50" t="str">
        <x:v>719943</x:v>
      </x:c>
      <x:c r="B55" s="35" t="str">
        <x:v>MEADE DEVELOPMENT CORPORATION</x:v>
      </x:c>
      <x:c r="C55" s="35" t="str">
        <x:v>CORPORATION FOR PROFIT</x:v>
      </x:c>
      <x:c r="D55" s="36" t="n">
        <x:v>32206</x:v>
      </x:c>
      <x:c r="E55" s="35" t="n">
        <x:f>YEAR(D55)</x:f>
        <x:v>1988</x:v>
      </x:c>
      <x:c r="F55" s="35" t="str">
        <x:f>TEXT(D55,"yyyy-mm")</x:f>
        <x:v>1988-03</x:v>
      </x:c>
      <x:c r="G55" s="35" t="n">
        <x:f>COUNTIF($D$2:$D$102,D55)</x:f>
        <x:v>6</x:v>
      </x:c>
      <x:c r="H55" s="35" t="str">
        <x:v>Dead</x:v>
      </x:c>
      <x:c r="I55" s="35" t="str">
        <x:v>COLUMBUS</x:v>
      </x:c>
      <x:c r="J55" s="35" t="str">
        <x:v>FRANKLIN</x:v>
      </x:c>
      <x:c r="K55" s="35" t="str">
        <x:v>OHIO</x:v>
      </x:c>
      <x:c r="L55" s="35" t="str">
        <x:v>Property-suggestive name</x:v>
      </x:c>
      <x:c r="M55" s="35" t="str"/>
      <x:c r="N55" s="35" t="str">
        <x:f>IF(M55&lt;&gt;"","1 - Anchor",IF(L55="Explicit network-name lead","1 - Network lead",IF(G55&gt;=6,"2 - Date batch","3 - Baseline")))</x:f>
        <x:v>2 - Date batch</x:v>
      </x:c>
      <x:c r="O55" s="35" t="str">
        <x:v>Not Started</x:v>
      </x:c>
      <x:c r="P55" s="36"/>
      <x:c r="Q55" s="35" t="str"/>
      <x:c r="R55" s="35" t="str">
        <x:v>Unknown</x:v>
      </x:c>
      <x:c r="S55" s="35" t="str"/>
      <x:c r="T55" s="36"/>
      <x:c r="U55" s="35" t="str"/>
      <x:c r="V55" s="35" t="str"/>
      <x:c r="W55" s="35" t="str"/>
      <x:c r="X55" s="35" t="str"/>
      <x:c r="Y55" s="35" t="str">
        <x:v>Not Started</x:v>
      </x:c>
      <x:c r="Z55" s="35" t="str"/>
      <x:c r="AA55" s="35" t="str">
        <x:v>No Exact Hit</x:v>
      </x:c>
      <x:c r="AB55" s="35" t="str">
        <x:v>Unassessed</x:v>
      </x:c>
      <x:c r="AC55" s="35" t="str"/>
      <x:c r="AD55" s="37" t="str"/>
    </x:row>
    <x:row r="56">
      <x:c r="A56" s="50" t="str">
        <x:v>719944</x:v>
      </x:c>
      <x:c r="B56" s="35" t="str">
        <x:v>ROCKFORD DEVELOPMENT, INC.</x:v>
      </x:c>
      <x:c r="C56" s="35" t="str">
        <x:v>CORPORATION FOR PROFIT</x:v>
      </x:c>
      <x:c r="D56" s="36" t="n">
        <x:v>32206</x:v>
      </x:c>
      <x:c r="E56" s="35" t="n">
        <x:f>YEAR(D56)</x:f>
        <x:v>1988</x:v>
      </x:c>
      <x:c r="F56" s="35" t="str">
        <x:f>TEXT(D56,"yyyy-mm")</x:f>
        <x:v>1988-03</x:v>
      </x:c>
      <x:c r="G56" s="35" t="n">
        <x:f>COUNTIF($D$2:$D$102,D56)</x:f>
        <x:v>6</x:v>
      </x:c>
      <x:c r="H56" s="35" t="str">
        <x:v>Dead</x:v>
      </x:c>
      <x:c r="I56" s="35" t="str">
        <x:v>COLUMBUS</x:v>
      </x:c>
      <x:c r="J56" s="35" t="str">
        <x:v>FRANKLIN</x:v>
      </x:c>
      <x:c r="K56" s="35" t="str">
        <x:v>OHIO</x:v>
      </x:c>
      <x:c r="L56" s="35" t="str">
        <x:v>Property-suggestive name</x:v>
      </x:c>
      <x:c r="M56" s="35" t="str"/>
      <x:c r="N56" s="35" t="str">
        <x:f>IF(M56&lt;&gt;"","1 - Anchor",IF(L56="Explicit network-name lead","1 - Network lead",IF(G56&gt;=6,"2 - Date batch","3 - Baseline")))</x:f>
        <x:v>2 - Date batch</x:v>
      </x:c>
      <x:c r="O56" s="35" t="str">
        <x:v>Not Started</x:v>
      </x:c>
      <x:c r="P56" s="36"/>
      <x:c r="Q56" s="35" t="str"/>
      <x:c r="R56" s="35" t="str">
        <x:v>Unknown</x:v>
      </x:c>
      <x:c r="S56" s="35" t="str"/>
      <x:c r="T56" s="36"/>
      <x:c r="U56" s="35" t="str"/>
      <x:c r="V56" s="35" t="str"/>
      <x:c r="W56" s="35" t="str"/>
      <x:c r="X56" s="35" t="str"/>
      <x:c r="Y56" s="35" t="str">
        <x:v>Not Started</x:v>
      </x:c>
      <x:c r="Z56" s="35" t="str"/>
      <x:c r="AA56" s="35" t="str">
        <x:v>No Exact Hit</x:v>
      </x:c>
      <x:c r="AB56" s="35" t="str">
        <x:v>Unassessed</x:v>
      </x:c>
      <x:c r="AC56" s="35" t="str"/>
      <x:c r="AD56" s="37" t="str"/>
    </x:row>
    <x:row r="57">
      <x:c r="A57" s="50" t="str">
        <x:v>719945</x:v>
      </x:c>
      <x:c r="B57" s="35" t="str">
        <x:v>TUDOR PROPERTIES, INC.</x:v>
      </x:c>
      <x:c r="C57" s="35" t="str">
        <x:v>CORPORATION FOR PROFIT</x:v>
      </x:c>
      <x:c r="D57" s="36" t="n">
        <x:v>32206</x:v>
      </x:c>
      <x:c r="E57" s="35" t="n">
        <x:f>YEAR(D57)</x:f>
        <x:v>1988</x:v>
      </x:c>
      <x:c r="F57" s="35" t="str">
        <x:f>TEXT(D57,"yyyy-mm")</x:f>
        <x:v>1988-03</x:v>
      </x:c>
      <x:c r="G57" s="35" t="n">
        <x:f>COUNTIF($D$2:$D$102,D57)</x:f>
        <x:v>6</x:v>
      </x:c>
      <x:c r="H57" s="35" t="str">
        <x:v>Dead</x:v>
      </x:c>
      <x:c r="I57" s="35" t="str">
        <x:v>COLUMBUS</x:v>
      </x:c>
      <x:c r="J57" s="35" t="str">
        <x:v>FRANKLIN</x:v>
      </x:c>
      <x:c r="K57" s="35" t="str">
        <x:v>OHIO</x:v>
      </x:c>
      <x:c r="L57" s="35" t="str">
        <x:v>Property-suggestive name</x:v>
      </x:c>
      <x:c r="M57" s="35" t="str"/>
      <x:c r="N57" s="35" t="str">
        <x:f>IF(M57&lt;&gt;"","1 - Anchor",IF(L57="Explicit network-name lead","1 - Network lead",IF(G57&gt;=6,"2 - Date batch","3 - Baseline")))</x:f>
        <x:v>2 - Date batch</x:v>
      </x:c>
      <x:c r="O57" s="35" t="str">
        <x:v>Not Started</x:v>
      </x:c>
      <x:c r="P57" s="36"/>
      <x:c r="Q57" s="35" t="str"/>
      <x:c r="R57" s="35" t="str">
        <x:v>Unknown</x:v>
      </x:c>
      <x:c r="S57" s="35" t="str"/>
      <x:c r="T57" s="36"/>
      <x:c r="U57" s="35" t="str"/>
      <x:c r="V57" s="35" t="str"/>
      <x:c r="W57" s="35" t="str"/>
      <x:c r="X57" s="35" t="str"/>
      <x:c r="Y57" s="35" t="str">
        <x:v>Not Started</x:v>
      </x:c>
      <x:c r="Z57" s="35" t="str"/>
      <x:c r="AA57" s="35" t="str">
        <x:v>No Exact Hit</x:v>
      </x:c>
      <x:c r="AB57" s="35" t="str">
        <x:v>Unassessed</x:v>
      </x:c>
      <x:c r="AC57" s="35" t="str"/>
      <x:c r="AD57" s="37" t="str"/>
    </x:row>
    <x:row r="58">
      <x:c r="A58" s="50" t="str">
        <x:v>720246</x:v>
      </x:c>
      <x:c r="B58" s="35" t="str">
        <x:v>CASELIN DEVELOPMENT CORPORATION</x:v>
      </x:c>
      <x:c r="C58" s="35" t="str">
        <x:v>CORPORATION FOR PROFIT</x:v>
      </x:c>
      <x:c r="D58" s="36" t="n">
        <x:v>32211</x:v>
      </x:c>
      <x:c r="E58" s="35" t="n">
        <x:f>YEAR(D58)</x:f>
        <x:v>1988</x:v>
      </x:c>
      <x:c r="F58" s="35" t="str">
        <x:f>TEXT(D58,"yyyy-mm")</x:f>
        <x:v>1988-03</x:v>
      </x:c>
      <x:c r="G58" s="35" t="n">
        <x:f>COUNTIF($D$2:$D$102,D58)</x:f>
        <x:v>9</x:v>
      </x:c>
      <x:c r="H58" s="35" t="str">
        <x:v>Dead</x:v>
      </x:c>
      <x:c r="I58" s="35" t="str">
        <x:v>COLUMBUS</x:v>
      </x:c>
      <x:c r="J58" s="35" t="str">
        <x:v>FRANKLIN</x:v>
      </x:c>
      <x:c r="K58" s="35" t="str">
        <x:v>OHIO</x:v>
      </x:c>
      <x:c r="L58" s="35" t="str">
        <x:v>Property-suggestive name</x:v>
      </x:c>
      <x:c r="M58" s="35" t="str"/>
      <x:c r="N58" s="35" t="str">
        <x:f>IF(M58&lt;&gt;"","1 - Anchor",IF(L58="Explicit network-name lead","1 - Network lead",IF(G58&gt;=6,"2 - Date batch","3 - Baseline")))</x:f>
        <x:v>2 - Date batch</x:v>
      </x:c>
      <x:c r="O58" s="35" t="str">
        <x:v>Not Started</x:v>
      </x:c>
      <x:c r="P58" s="36"/>
      <x:c r="Q58" s="35" t="str"/>
      <x:c r="R58" s="35" t="str">
        <x:v>Unknown</x:v>
      </x:c>
      <x:c r="S58" s="35" t="str"/>
      <x:c r="T58" s="36"/>
      <x:c r="U58" s="35" t="str"/>
      <x:c r="V58" s="35" t="str"/>
      <x:c r="W58" s="35" t="str"/>
      <x:c r="X58" s="35" t="str"/>
      <x:c r="Y58" s="35" t="str">
        <x:v>Not Started</x:v>
      </x:c>
      <x:c r="Z58" s="35" t="str"/>
      <x:c r="AA58" s="35" t="str">
        <x:v>No Exact Hit</x:v>
      </x:c>
      <x:c r="AB58" s="35" t="str">
        <x:v>Unassessed</x:v>
      </x:c>
      <x:c r="AC58" s="35" t="str"/>
      <x:c r="AD58" s="37" t="str"/>
    </x:row>
    <x:row r="59">
      <x:c r="A59" s="50" t="str">
        <x:v>720366</x:v>
      </x:c>
      <x:c r="B59" s="35" t="str">
        <x:v>CHESSER ESTATES, INC.</x:v>
      </x:c>
      <x:c r="C59" s="35" t="str">
        <x:v>CORPORATION FOR PROFIT</x:v>
      </x:c>
      <x:c r="D59" s="36" t="n">
        <x:v>32211</x:v>
      </x:c>
      <x:c r="E59" s="35" t="n">
        <x:f>YEAR(D59)</x:f>
        <x:v>1988</x:v>
      </x:c>
      <x:c r="F59" s="35" t="str">
        <x:f>TEXT(D59,"yyyy-mm")</x:f>
        <x:v>1988-03</x:v>
      </x:c>
      <x:c r="G59" s="35" t="n">
        <x:f>COUNTIF($D$2:$D$102,D59)</x:f>
        <x:v>9</x:v>
      </x:c>
      <x:c r="H59" s="35" t="str">
        <x:v>Dead</x:v>
      </x:c>
      <x:c r="I59" s="35" t="str">
        <x:v>COLUMBUS</x:v>
      </x:c>
      <x:c r="J59" s="35" t="str">
        <x:v>FRANKLIN</x:v>
      </x:c>
      <x:c r="K59" s="35" t="str">
        <x:v>OHIO</x:v>
      </x:c>
      <x:c r="L59" s="35" t="str">
        <x:v>Property-suggestive name</x:v>
      </x:c>
      <x:c r="M59" s="35" t="str"/>
      <x:c r="N59" s="35" t="str">
        <x:f>IF(M59&lt;&gt;"","1 - Anchor",IF(L59="Explicit network-name lead","1 - Network lead",IF(G59&gt;=6,"2 - Date batch","3 - Baseline")))</x:f>
        <x:v>2 - Date batch</x:v>
      </x:c>
      <x:c r="O59" s="35" t="str">
        <x:v>Not Started</x:v>
      </x:c>
      <x:c r="P59" s="36"/>
      <x:c r="Q59" s="35" t="str"/>
      <x:c r="R59" s="35" t="str">
        <x:v>Unknown</x:v>
      </x:c>
      <x:c r="S59" s="35" t="str"/>
      <x:c r="T59" s="36"/>
      <x:c r="U59" s="35" t="str"/>
      <x:c r="V59" s="35" t="str"/>
      <x:c r="W59" s="35" t="str"/>
      <x:c r="X59" s="35" t="str"/>
      <x:c r="Y59" s="35" t="str">
        <x:v>Not Started</x:v>
      </x:c>
      <x:c r="Z59" s="35" t="str"/>
      <x:c r="AA59" s="35" t="str">
        <x:v>No Exact Hit</x:v>
      </x:c>
      <x:c r="AB59" s="35" t="str">
        <x:v>Unassessed</x:v>
      </x:c>
      <x:c r="AC59" s="35" t="str"/>
      <x:c r="AD59" s="37" t="str"/>
    </x:row>
    <x:row r="60">
      <x:c r="A60" s="50" t="str">
        <x:v>720360</x:v>
      </x:c>
      <x:c r="B60" s="35" t="str">
        <x:v>FORMAN FARMS, INC.</x:v>
      </x:c>
      <x:c r="C60" s="35" t="str">
        <x:v>CORPORATION FOR PROFIT</x:v>
      </x:c>
      <x:c r="D60" s="36" t="n">
        <x:v>32211</x:v>
      </x:c>
      <x:c r="E60" s="35" t="n">
        <x:f>YEAR(D60)</x:f>
        <x:v>1988</x:v>
      </x:c>
      <x:c r="F60" s="35" t="str">
        <x:f>TEXT(D60,"yyyy-mm")</x:f>
        <x:v>1988-03</x:v>
      </x:c>
      <x:c r="G60" s="35" t="n">
        <x:f>COUNTIF($D$2:$D$102,D60)</x:f>
        <x:v>9</x:v>
      </x:c>
      <x:c r="H60" s="35" t="str">
        <x:v>Dead</x:v>
      </x:c>
      <x:c r="I60" s="35" t="str">
        <x:v>COLUMBUS</x:v>
      </x:c>
      <x:c r="J60" s="35" t="str">
        <x:v>FRANKLIN</x:v>
      </x:c>
      <x:c r="K60" s="35" t="str">
        <x:v>OHIO</x:v>
      </x:c>
      <x:c r="L60" s="35" t="str">
        <x:v>Property-suggestive name</x:v>
      </x:c>
      <x:c r="M60" s="35" t="str"/>
      <x:c r="N60" s="35" t="str">
        <x:f>IF(M60&lt;&gt;"","1 - Anchor",IF(L60="Explicit network-name lead","1 - Network lead",IF(G60&gt;=6,"2 - Date batch","3 - Baseline")))</x:f>
        <x:v>2 - Date batch</x:v>
      </x:c>
      <x:c r="O60" s="35" t="str">
        <x:v>Not Started</x:v>
      </x:c>
      <x:c r="P60" s="36"/>
      <x:c r="Q60" s="35" t="str"/>
      <x:c r="R60" s="35" t="str">
        <x:v>Unknown</x:v>
      </x:c>
      <x:c r="S60" s="35" t="str"/>
      <x:c r="T60" s="36"/>
      <x:c r="U60" s="35" t="str"/>
      <x:c r="V60" s="35" t="str"/>
      <x:c r="W60" s="35" t="str"/>
      <x:c r="X60" s="35" t="str"/>
      <x:c r="Y60" s="35" t="str">
        <x:v>Not Started</x:v>
      </x:c>
      <x:c r="Z60" s="35" t="str"/>
      <x:c r="AA60" s="35" t="str">
        <x:v>No Exact Hit</x:v>
      </x:c>
      <x:c r="AB60" s="35" t="str">
        <x:v>Unassessed</x:v>
      </x:c>
      <x:c r="AC60" s="35" t="str"/>
      <x:c r="AD60" s="37" t="str"/>
    </x:row>
    <x:row r="61">
      <x:c r="A61" s="50" t="str">
        <x:v>720361</x:v>
      </x:c>
      <x:c r="B61" s="35" t="str">
        <x:v>PALM PROPERTIES, INC.</x:v>
      </x:c>
      <x:c r="C61" s="35" t="str">
        <x:v>CORPORATION FOR PROFIT</x:v>
      </x:c>
      <x:c r="D61" s="36" t="n">
        <x:v>32211</x:v>
      </x:c>
      <x:c r="E61" s="35" t="n">
        <x:f>YEAR(D61)</x:f>
        <x:v>1988</x:v>
      </x:c>
      <x:c r="F61" s="35" t="str">
        <x:f>TEXT(D61,"yyyy-mm")</x:f>
        <x:v>1988-03</x:v>
      </x:c>
      <x:c r="G61" s="35" t="n">
        <x:f>COUNTIF($D$2:$D$102,D61)</x:f>
        <x:v>9</x:v>
      </x:c>
      <x:c r="H61" s="35" t="str">
        <x:v>Dead</x:v>
      </x:c>
      <x:c r="I61" s="35" t="str">
        <x:v>COLUMBUS</x:v>
      </x:c>
      <x:c r="J61" s="35" t="str">
        <x:v>FRANKLIN</x:v>
      </x:c>
      <x:c r="K61" s="35" t="str">
        <x:v>OHIO</x:v>
      </x:c>
      <x:c r="L61" s="35" t="str">
        <x:v>Property-suggestive name</x:v>
      </x:c>
      <x:c r="M61" s="35" t="str"/>
      <x:c r="N61" s="35" t="str">
        <x:f>IF(M61&lt;&gt;"","1 - Anchor",IF(L61="Explicit network-name lead","1 - Network lead",IF(G61&gt;=6,"2 - Date batch","3 - Baseline")))</x:f>
        <x:v>2 - Date batch</x:v>
      </x:c>
      <x:c r="O61" s="35" t="str">
        <x:v>Not Started</x:v>
      </x:c>
      <x:c r="P61" s="36"/>
      <x:c r="Q61" s="35" t="str"/>
      <x:c r="R61" s="35" t="str">
        <x:v>Unknown</x:v>
      </x:c>
      <x:c r="S61" s="35" t="str"/>
      <x:c r="T61" s="36"/>
      <x:c r="U61" s="35" t="str"/>
      <x:c r="V61" s="35" t="str"/>
      <x:c r="W61" s="35" t="str"/>
      <x:c r="X61" s="35" t="str"/>
      <x:c r="Y61" s="35" t="str">
        <x:v>Not Started</x:v>
      </x:c>
      <x:c r="Z61" s="35" t="str"/>
      <x:c r="AA61" s="35" t="str">
        <x:v>No Exact Hit</x:v>
      </x:c>
      <x:c r="AB61" s="35" t="str">
        <x:v>Unassessed</x:v>
      </x:c>
      <x:c r="AC61" s="35" t="str"/>
      <x:c r="AD61" s="37" t="str"/>
    </x:row>
    <x:row r="62">
      <x:c r="A62" s="50" t="str">
        <x:v>720362</x:v>
      </x:c>
      <x:c r="B62" s="35" t="str">
        <x:v>SAREN INVESTMENTS INCORPORATED</x:v>
      </x:c>
      <x:c r="C62" s="35" t="str">
        <x:v>CORPORATION FOR PROFIT</x:v>
      </x:c>
      <x:c r="D62" s="36" t="n">
        <x:v>32211</x:v>
      </x:c>
      <x:c r="E62" s="35" t="n">
        <x:f>YEAR(D62)</x:f>
        <x:v>1988</x:v>
      </x:c>
      <x:c r="F62" s="35" t="str">
        <x:f>TEXT(D62,"yyyy-mm")</x:f>
        <x:v>1988-03</x:v>
      </x:c>
      <x:c r="G62" s="35" t="n">
        <x:f>COUNTIF($D$2:$D$102,D62)</x:f>
        <x:v>9</x:v>
      </x:c>
      <x:c r="H62" s="35" t="str">
        <x:v>Dead</x:v>
      </x:c>
      <x:c r="I62" s="35" t="str">
        <x:v>COLUMBUS</x:v>
      </x:c>
      <x:c r="J62" s="35" t="str">
        <x:v>FRANKLIN</x:v>
      </x:c>
      <x:c r="K62" s="35" t="str">
        <x:v>OHIO</x:v>
      </x:c>
      <x:c r="L62" s="35" t="str">
        <x:v>Investment/holding/management name</x:v>
      </x:c>
      <x:c r="M62" s="35" t="str"/>
      <x:c r="N62" s="35" t="str">
        <x:f>IF(M62&lt;&gt;"","1 - Anchor",IF(L62="Explicit network-name lead","1 - Network lead",IF(G62&gt;=6,"2 - Date batch","3 - Baseline")))</x:f>
        <x:v>2 - Date batch</x:v>
      </x:c>
      <x:c r="O62" s="35" t="str">
        <x:v>Not Started</x:v>
      </x:c>
      <x:c r="P62" s="36"/>
      <x:c r="Q62" s="35" t="str"/>
      <x:c r="R62" s="35" t="str">
        <x:v>Unknown</x:v>
      </x:c>
      <x:c r="S62" s="35" t="str"/>
      <x:c r="T62" s="36"/>
      <x:c r="U62" s="35" t="str"/>
      <x:c r="V62" s="35" t="str"/>
      <x:c r="W62" s="35" t="str"/>
      <x:c r="X62" s="35" t="str"/>
      <x:c r="Y62" s="35" t="str">
        <x:v>Not Started</x:v>
      </x:c>
      <x:c r="Z62" s="35" t="str"/>
      <x:c r="AA62" s="35" t="str">
        <x:v>No Exact Hit</x:v>
      </x:c>
      <x:c r="AB62" s="35" t="str">
        <x:v>Unassessed</x:v>
      </x:c>
      <x:c r="AC62" s="35" t="str"/>
      <x:c r="AD62" s="37" t="str"/>
    </x:row>
    <x:row r="63">
      <x:c r="A63" s="50" t="str">
        <x:v>720363</x:v>
      </x:c>
      <x:c r="B63" s="35" t="str">
        <x:v>TANDEM INVESTMENTS INCORPORATED</x:v>
      </x:c>
      <x:c r="C63" s="35" t="str">
        <x:v>CORPORATION FOR PROFIT</x:v>
      </x:c>
      <x:c r="D63" s="36" t="n">
        <x:v>32211</x:v>
      </x:c>
      <x:c r="E63" s="35" t="n">
        <x:f>YEAR(D63)</x:f>
        <x:v>1988</x:v>
      </x:c>
      <x:c r="F63" s="35" t="str">
        <x:f>TEXT(D63,"yyyy-mm")</x:f>
        <x:v>1988-03</x:v>
      </x:c>
      <x:c r="G63" s="35" t="n">
        <x:f>COUNTIF($D$2:$D$102,D63)</x:f>
        <x:v>9</x:v>
      </x:c>
      <x:c r="H63" s="35" t="str">
        <x:v>Dead</x:v>
      </x:c>
      <x:c r="I63" s="35" t="str">
        <x:v>COLUMBUS</x:v>
      </x:c>
      <x:c r="J63" s="35" t="str">
        <x:v>FRANKLIN</x:v>
      </x:c>
      <x:c r="K63" s="35" t="str">
        <x:v>OHIO</x:v>
      </x:c>
      <x:c r="L63" s="35" t="str">
        <x:v>Investment/holding/management name</x:v>
      </x:c>
      <x:c r="M63" s="35" t="str"/>
      <x:c r="N63" s="35" t="str">
        <x:f>IF(M63&lt;&gt;"","1 - Anchor",IF(L63="Explicit network-name lead","1 - Network lead",IF(G63&gt;=6,"2 - Date batch","3 - Baseline")))</x:f>
        <x:v>2 - Date batch</x:v>
      </x:c>
      <x:c r="O63" s="35" t="str">
        <x:v>Not Started</x:v>
      </x:c>
      <x:c r="P63" s="36"/>
      <x:c r="Q63" s="35" t="str"/>
      <x:c r="R63" s="35" t="str">
        <x:v>Unknown</x:v>
      </x:c>
      <x:c r="S63" s="35" t="str"/>
      <x:c r="T63" s="36"/>
      <x:c r="U63" s="35" t="str"/>
      <x:c r="V63" s="35" t="str"/>
      <x:c r="W63" s="35" t="str"/>
      <x:c r="X63" s="35" t="str"/>
      <x:c r="Y63" s="35" t="str">
        <x:v>Not Started</x:v>
      </x:c>
      <x:c r="Z63" s="35" t="str"/>
      <x:c r="AA63" s="35" t="str">
        <x:v>No Exact Hit</x:v>
      </x:c>
      <x:c r="AB63" s="35" t="str">
        <x:v>Unassessed</x:v>
      </x:c>
      <x:c r="AC63" s="35" t="str"/>
      <x:c r="AD63" s="37" t="str"/>
    </x:row>
    <x:row r="64">
      <x:c r="A64" s="50" t="str">
        <x:v>720489</x:v>
      </x:c>
      <x:c r="B64" s="35" t="str">
        <x:v>TIMBRE PROPERTIES, INC.</x:v>
      </x:c>
      <x:c r="C64" s="35" t="str">
        <x:v>CORPORATION FOR PROFIT</x:v>
      </x:c>
      <x:c r="D64" s="36" t="n">
        <x:v>32211</x:v>
      </x:c>
      <x:c r="E64" s="35" t="n">
        <x:f>YEAR(D64)</x:f>
        <x:v>1988</x:v>
      </x:c>
      <x:c r="F64" s="35" t="str">
        <x:f>TEXT(D64,"yyyy-mm")</x:f>
        <x:v>1988-03</x:v>
      </x:c>
      <x:c r="G64" s="35" t="n">
        <x:f>COUNTIF($D$2:$D$102,D64)</x:f>
        <x:v>9</x:v>
      </x:c>
      <x:c r="H64" s="35" t="str">
        <x:v>Dead</x:v>
      </x:c>
      <x:c r="I64" s="35" t="str">
        <x:v>COLUMBUS</x:v>
      </x:c>
      <x:c r="J64" s="35" t="str">
        <x:v>FRANKLIN</x:v>
      </x:c>
      <x:c r="K64" s="35" t="str">
        <x:v>OHIO</x:v>
      </x:c>
      <x:c r="L64" s="35" t="str">
        <x:v>Property-suggestive name</x:v>
      </x:c>
      <x:c r="M64" s="35" t="str"/>
      <x:c r="N64" s="35" t="str">
        <x:f>IF(M64&lt;&gt;"","1 - Anchor",IF(L64="Explicit network-name lead","1 - Network lead",IF(G64&gt;=6,"2 - Date batch","3 - Baseline")))</x:f>
        <x:v>2 - Date batch</x:v>
      </x:c>
      <x:c r="O64" s="35" t="str">
        <x:v>Not Started</x:v>
      </x:c>
      <x:c r="P64" s="36"/>
      <x:c r="Q64" s="35" t="str"/>
      <x:c r="R64" s="35" t="str">
        <x:v>Unknown</x:v>
      </x:c>
      <x:c r="S64" s="35" t="str"/>
      <x:c r="T64" s="36"/>
      <x:c r="U64" s="35" t="str"/>
      <x:c r="V64" s="35" t="str"/>
      <x:c r="W64" s="35" t="str"/>
      <x:c r="X64" s="35" t="str"/>
      <x:c r="Y64" s="35" t="str">
        <x:v>Not Started</x:v>
      </x:c>
      <x:c r="Z64" s="35" t="str"/>
      <x:c r="AA64" s="35" t="str">
        <x:v>No Exact Hit</x:v>
      </x:c>
      <x:c r="AB64" s="35" t="str">
        <x:v>Unassessed</x:v>
      </x:c>
      <x:c r="AC64" s="35" t="str"/>
      <x:c r="AD64" s="37" t="str"/>
    </x:row>
    <x:row r="65">
      <x:c r="A65" s="50" t="str">
        <x:v>720364</x:v>
      </x:c>
      <x:c r="B65" s="35" t="str">
        <x:v>VILLA DEVELOPMENT CORP.</x:v>
      </x:c>
      <x:c r="C65" s="35" t="str">
        <x:v>CORPORATION FOR PROFIT</x:v>
      </x:c>
      <x:c r="D65" s="36" t="n">
        <x:v>32211</x:v>
      </x:c>
      <x:c r="E65" s="35" t="n">
        <x:f>YEAR(D65)</x:f>
        <x:v>1988</x:v>
      </x:c>
      <x:c r="F65" s="35" t="str">
        <x:f>TEXT(D65,"yyyy-mm")</x:f>
        <x:v>1988-03</x:v>
      </x:c>
      <x:c r="G65" s="35" t="n">
        <x:f>COUNTIF($D$2:$D$102,D65)</x:f>
        <x:v>9</x:v>
      </x:c>
      <x:c r="H65" s="35" t="str">
        <x:v>Dead</x:v>
      </x:c>
      <x:c r="I65" s="35" t="str">
        <x:v>COLUMBUS</x:v>
      </x:c>
      <x:c r="J65" s="35" t="str">
        <x:v>FRANKLIN</x:v>
      </x:c>
      <x:c r="K65" s="35" t="str">
        <x:v>OHIO</x:v>
      </x:c>
      <x:c r="L65" s="35" t="str">
        <x:v>Property-suggestive name</x:v>
      </x:c>
      <x:c r="M65" s="35" t="str"/>
      <x:c r="N65" s="35" t="str">
        <x:f>IF(M65&lt;&gt;"","1 - Anchor",IF(L65="Explicit network-name lead","1 - Network lead",IF(G65&gt;=6,"2 - Date batch","3 - Baseline")))</x:f>
        <x:v>2 - Date batch</x:v>
      </x:c>
      <x:c r="O65" s="35" t="str">
        <x:v>Not Started</x:v>
      </x:c>
      <x:c r="P65" s="36"/>
      <x:c r="Q65" s="35" t="str"/>
      <x:c r="R65" s="35" t="str">
        <x:v>Unknown</x:v>
      </x:c>
      <x:c r="S65" s="35" t="str"/>
      <x:c r="T65" s="36"/>
      <x:c r="U65" s="35" t="str"/>
      <x:c r="V65" s="35" t="str"/>
      <x:c r="W65" s="35" t="str"/>
      <x:c r="X65" s="35" t="str"/>
      <x:c r="Y65" s="35" t="str">
        <x:v>Not Started</x:v>
      </x:c>
      <x:c r="Z65" s="35" t="str"/>
      <x:c r="AA65" s="35" t="str">
        <x:v>No Exact Hit</x:v>
      </x:c>
      <x:c r="AB65" s="35" t="str">
        <x:v>Unassessed</x:v>
      </x:c>
      <x:c r="AC65" s="35" t="str"/>
      <x:c r="AD65" s="37" t="str"/>
    </x:row>
    <x:row r="66">
      <x:c r="A66" s="50" t="str">
        <x:v>720365</x:v>
      </x:c>
      <x:c r="B66" s="35" t="str">
        <x:v>VILLAGE ACRES, INC.</x:v>
      </x:c>
      <x:c r="C66" s="35" t="str">
        <x:v>CORPORATION FOR PROFIT</x:v>
      </x:c>
      <x:c r="D66" s="36" t="n">
        <x:v>32211</x:v>
      </x:c>
      <x:c r="E66" s="35" t="n">
        <x:f>YEAR(D66)</x:f>
        <x:v>1988</x:v>
      </x:c>
      <x:c r="F66" s="35" t="str">
        <x:f>TEXT(D66,"yyyy-mm")</x:f>
        <x:v>1988-03</x:v>
      </x:c>
      <x:c r="G66" s="35" t="n">
        <x:f>COUNTIF($D$2:$D$102,D66)</x:f>
        <x:v>9</x:v>
      </x:c>
      <x:c r="H66" s="35" t="str">
        <x:v>Dead</x:v>
      </x:c>
      <x:c r="I66" s="35" t="str">
        <x:v>COLUMBUS</x:v>
      </x:c>
      <x:c r="J66" s="35" t="str">
        <x:v>FRANKLIN</x:v>
      </x:c>
      <x:c r="K66" s="35" t="str">
        <x:v>OHIO</x:v>
      </x:c>
      <x:c r="L66" s="35" t="str">
        <x:v>Property-suggestive name</x:v>
      </x:c>
      <x:c r="M66" s="35" t="str"/>
      <x:c r="N66" s="35" t="str">
        <x:f>IF(M66&lt;&gt;"","1 - Anchor",IF(L66="Explicit network-name lead","1 - Network lead",IF(G66&gt;=6,"2 - Date batch","3 - Baseline")))</x:f>
        <x:v>2 - Date batch</x:v>
      </x:c>
      <x:c r="O66" s="35" t="str">
        <x:v>Not Started</x:v>
      </x:c>
      <x:c r="P66" s="36"/>
      <x:c r="Q66" s="35" t="str"/>
      <x:c r="R66" s="35" t="str">
        <x:v>Unknown</x:v>
      </x:c>
      <x:c r="S66" s="35" t="str"/>
      <x:c r="T66" s="36"/>
      <x:c r="U66" s="35" t="str"/>
      <x:c r="V66" s="35" t="str"/>
      <x:c r="W66" s="35" t="str"/>
      <x:c r="X66" s="35" t="str"/>
      <x:c r="Y66" s="35" t="str">
        <x:v>Not Started</x:v>
      </x:c>
      <x:c r="Z66" s="35" t="str"/>
      <x:c r="AA66" s="35" t="str">
        <x:v>No Exact Hit</x:v>
      </x:c>
      <x:c r="AB66" s="35" t="str">
        <x:v>Unassessed</x:v>
      </x:c>
      <x:c r="AC66" s="35" t="str"/>
      <x:c r="AD66" s="37" t="str"/>
    </x:row>
    <x:row r="67">
      <x:c r="A67" s="50" t="str">
        <x:v>724612</x:v>
      </x:c>
      <x:c r="B67" s="35" t="str">
        <x:v>BLUFFTON HOLDING CORPORATION</x:v>
      </x:c>
      <x:c r="C67" s="35" t="str">
        <x:v>CORPORATION FOR PROFIT</x:v>
      </x:c>
      <x:c r="D67" s="36" t="n">
        <x:v>32276</x:v>
      </x:c>
      <x:c r="E67" s="35" t="n">
        <x:f>YEAR(D67)</x:f>
        <x:v>1988</x:v>
      </x:c>
      <x:c r="F67" s="35" t="str">
        <x:f>TEXT(D67,"yyyy-mm")</x:f>
        <x:v>1988-05</x:v>
      </x:c>
      <x:c r="G67" s="35" t="n">
        <x:f>COUNTIF($D$2:$D$102,D67)</x:f>
        <x:v>10</x:v>
      </x:c>
      <x:c r="H67" s="35" t="str">
        <x:v>Dead</x:v>
      </x:c>
      <x:c r="I67" s="35" t="str">
        <x:v>COLUMBUS</x:v>
      </x:c>
      <x:c r="J67" s="35" t="str">
        <x:v>FRANKLIN</x:v>
      </x:c>
      <x:c r="K67" s="35" t="str">
        <x:v>OHIO</x:v>
      </x:c>
      <x:c r="L67" s="35" t="str">
        <x:v>Investment/holding/management name</x:v>
      </x:c>
      <x:c r="M67" s="35" t="str"/>
      <x:c r="N67" s="35" t="str">
        <x:f>IF(M67&lt;&gt;"","1 - Anchor",IF(L67="Explicit network-name lead","1 - Network lead",IF(G67&gt;=6,"2 - Date batch","3 - Baseline")))</x:f>
        <x:v>2 - Date batch</x:v>
      </x:c>
      <x:c r="O67" s="35" t="str">
        <x:v>Not Started</x:v>
      </x:c>
      <x:c r="P67" s="36"/>
      <x:c r="Q67" s="35" t="str"/>
      <x:c r="R67" s="35" t="str">
        <x:v>Unknown</x:v>
      </x:c>
      <x:c r="S67" s="35" t="str"/>
      <x:c r="T67" s="36"/>
      <x:c r="U67" s="35" t="str"/>
      <x:c r="V67" s="35" t="str"/>
      <x:c r="W67" s="35" t="str"/>
      <x:c r="X67" s="35" t="str"/>
      <x:c r="Y67" s="35" t="str">
        <x:v>Not Started</x:v>
      </x:c>
      <x:c r="Z67" s="35" t="str"/>
      <x:c r="AA67" s="35" t="str">
        <x:v>No Exact Hit</x:v>
      </x:c>
      <x:c r="AB67" s="35" t="str">
        <x:v>Unassessed</x:v>
      </x:c>
      <x:c r="AC67" s="35" t="str"/>
      <x:c r="AD67" s="37" t="str"/>
    </x:row>
    <x:row r="68">
      <x:c r="A68" s="50" t="str">
        <x:v>724613</x:v>
      </x:c>
      <x:c r="B68" s="35" t="str">
        <x:v>DIAMOND DEVELOPMENT COMPANY</x:v>
      </x:c>
      <x:c r="C68" s="35" t="str">
        <x:v>CORPORATION FOR PROFIT</x:v>
      </x:c>
      <x:c r="D68" s="36" t="n">
        <x:v>32276</x:v>
      </x:c>
      <x:c r="E68" s="35" t="n">
        <x:f>YEAR(D68)</x:f>
        <x:v>1988</x:v>
      </x:c>
      <x:c r="F68" s="35" t="str">
        <x:f>TEXT(D68,"yyyy-mm")</x:f>
        <x:v>1988-05</x:v>
      </x:c>
      <x:c r="G68" s="35" t="n">
        <x:f>COUNTIF($D$2:$D$102,D68)</x:f>
        <x:v>10</x:v>
      </x:c>
      <x:c r="H68" s="35" t="str">
        <x:v>Dead</x:v>
      </x:c>
      <x:c r="I68" s="35" t="str">
        <x:v>COLUMBUS</x:v>
      </x:c>
      <x:c r="J68" s="35" t="str">
        <x:v>FRANKLIN</x:v>
      </x:c>
      <x:c r="K68" s="35" t="str">
        <x:v>OHIO</x:v>
      </x:c>
      <x:c r="L68" s="35" t="str">
        <x:v>Property-suggestive name</x:v>
      </x:c>
      <x:c r="M68" s="35" t="str"/>
      <x:c r="N68" s="35" t="str">
        <x:f>IF(M68&lt;&gt;"","1 - Anchor",IF(L68="Explicit network-name lead","1 - Network lead",IF(G68&gt;=6,"2 - Date batch","3 - Baseline")))</x:f>
        <x:v>2 - Date batch</x:v>
      </x:c>
      <x:c r="O68" s="35" t="str">
        <x:v>Not Started</x:v>
      </x:c>
      <x:c r="P68" s="36"/>
      <x:c r="Q68" s="35" t="str"/>
      <x:c r="R68" s="35" t="str">
        <x:v>Unknown</x:v>
      </x:c>
      <x:c r="S68" s="35" t="str"/>
      <x:c r="T68" s="36"/>
      <x:c r="U68" s="35" t="str"/>
      <x:c r="V68" s="35" t="str"/>
      <x:c r="W68" s="35" t="str"/>
      <x:c r="X68" s="35" t="str"/>
      <x:c r="Y68" s="35" t="str">
        <x:v>Not Started</x:v>
      </x:c>
      <x:c r="Z68" s="35" t="str"/>
      <x:c r="AA68" s="35" t="str">
        <x:v>No Exact Hit</x:v>
      </x:c>
      <x:c r="AB68" s="35" t="str">
        <x:v>Unassessed</x:v>
      </x:c>
      <x:c r="AC68" s="35" t="str"/>
      <x:c r="AD68" s="37" t="str"/>
    </x:row>
    <x:row r="69">
      <x:c r="A69" s="50" t="str">
        <x:v>724614</x:v>
      </x:c>
      <x:c r="B69" s="35" t="str">
        <x:v>DONCASTER DEVELOPMENT, INC.</x:v>
      </x:c>
      <x:c r="C69" s="35" t="str">
        <x:v>CORPORATION FOR PROFIT</x:v>
      </x:c>
      <x:c r="D69" s="36" t="n">
        <x:v>32276</x:v>
      </x:c>
      <x:c r="E69" s="35" t="n">
        <x:f>YEAR(D69)</x:f>
        <x:v>1988</x:v>
      </x:c>
      <x:c r="F69" s="35" t="str">
        <x:f>TEXT(D69,"yyyy-mm")</x:f>
        <x:v>1988-05</x:v>
      </x:c>
      <x:c r="G69" s="35" t="n">
        <x:f>COUNTIF($D$2:$D$102,D69)</x:f>
        <x:v>10</x:v>
      </x:c>
      <x:c r="H69" s="35" t="str">
        <x:v>Dead</x:v>
      </x:c>
      <x:c r="I69" s="35" t="str">
        <x:v>COLUMBUS</x:v>
      </x:c>
      <x:c r="J69" s="35" t="str">
        <x:v>FRANKLIN</x:v>
      </x:c>
      <x:c r="K69" s="35" t="str">
        <x:v>OHIO</x:v>
      </x:c>
      <x:c r="L69" s="35" t="str">
        <x:v>Property-suggestive name</x:v>
      </x:c>
      <x:c r="M69" s="35" t="str"/>
      <x:c r="N69" s="35" t="str">
        <x:f>IF(M69&lt;&gt;"","1 - Anchor",IF(L69="Explicit network-name lead","1 - Network lead",IF(G69&gt;=6,"2 - Date batch","3 - Baseline")))</x:f>
        <x:v>2 - Date batch</x:v>
      </x:c>
      <x:c r="O69" s="35" t="str">
        <x:v>Not Started</x:v>
      </x:c>
      <x:c r="P69" s="36"/>
      <x:c r="Q69" s="35" t="str"/>
      <x:c r="R69" s="35" t="str">
        <x:v>Unknown</x:v>
      </x:c>
      <x:c r="S69" s="35" t="str"/>
      <x:c r="T69" s="36"/>
      <x:c r="U69" s="35" t="str"/>
      <x:c r="V69" s="35" t="str"/>
      <x:c r="W69" s="35" t="str"/>
      <x:c r="X69" s="35" t="str"/>
      <x:c r="Y69" s="35" t="str">
        <x:v>Not Started</x:v>
      </x:c>
      <x:c r="Z69" s="35" t="str"/>
      <x:c r="AA69" s="35" t="str">
        <x:v>No Exact Hit</x:v>
      </x:c>
      <x:c r="AB69" s="35" t="str">
        <x:v>Unassessed</x:v>
      </x:c>
      <x:c r="AC69" s="35" t="str"/>
      <x:c r="AD69" s="37" t="str"/>
    </x:row>
    <x:row r="70">
      <x:c r="A70" s="50" t="str">
        <x:v>724615</x:v>
      </x:c>
      <x:c r="B70" s="35" t="str">
        <x:v>DONNER DEVELOPMENT COMPANY</x:v>
      </x:c>
      <x:c r="C70" s="35" t="str">
        <x:v>CORPORATION FOR PROFIT</x:v>
      </x:c>
      <x:c r="D70" s="36" t="n">
        <x:v>32276</x:v>
      </x:c>
      <x:c r="E70" s="35" t="n">
        <x:f>YEAR(D70)</x:f>
        <x:v>1988</x:v>
      </x:c>
      <x:c r="F70" s="35" t="str">
        <x:f>TEXT(D70,"yyyy-mm")</x:f>
        <x:v>1988-05</x:v>
      </x:c>
      <x:c r="G70" s="35" t="n">
        <x:f>COUNTIF($D$2:$D$102,D70)</x:f>
        <x:v>10</x:v>
      </x:c>
      <x:c r="H70" s="35" t="str">
        <x:v>Dead</x:v>
      </x:c>
      <x:c r="I70" s="35" t="str">
        <x:v>COLUMBUS</x:v>
      </x:c>
      <x:c r="J70" s="35" t="str">
        <x:v>FRANKLIN</x:v>
      </x:c>
      <x:c r="K70" s="35" t="str">
        <x:v>OHIO</x:v>
      </x:c>
      <x:c r="L70" s="35" t="str">
        <x:v>Property-suggestive name</x:v>
      </x:c>
      <x:c r="M70" s="35" t="str"/>
      <x:c r="N70" s="35" t="str">
        <x:f>IF(M70&lt;&gt;"","1 - Anchor",IF(L70="Explicit network-name lead","1 - Network lead",IF(G70&gt;=6,"2 - Date batch","3 - Baseline")))</x:f>
        <x:v>2 - Date batch</x:v>
      </x:c>
      <x:c r="O70" s="35" t="str">
        <x:v>Not Started</x:v>
      </x:c>
      <x:c r="P70" s="36"/>
      <x:c r="Q70" s="35" t="str"/>
      <x:c r="R70" s="35" t="str">
        <x:v>Unknown</x:v>
      </x:c>
      <x:c r="S70" s="35" t="str"/>
      <x:c r="T70" s="36"/>
      <x:c r="U70" s="35" t="str"/>
      <x:c r="V70" s="35" t="str"/>
      <x:c r="W70" s="35" t="str"/>
      <x:c r="X70" s="35" t="str"/>
      <x:c r="Y70" s="35" t="str">
        <x:v>Not Started</x:v>
      </x:c>
      <x:c r="Z70" s="35" t="str"/>
      <x:c r="AA70" s="35" t="str">
        <x:v>No Exact Hit</x:v>
      </x:c>
      <x:c r="AB70" s="35" t="str">
        <x:v>Unassessed</x:v>
      </x:c>
      <x:c r="AC70" s="35" t="str"/>
      <x:c r="AD70" s="37" t="str"/>
    </x:row>
    <x:row r="71">
      <x:c r="A71" s="50" t="str">
        <x:v>724616</x:v>
      </x:c>
      <x:c r="B71" s="35" t="str">
        <x:v>FARMINGTON DEVELOPERS, INC.</x:v>
      </x:c>
      <x:c r="C71" s="35" t="str">
        <x:v>CORPORATION FOR PROFIT</x:v>
      </x:c>
      <x:c r="D71" s="36" t="n">
        <x:v>32276</x:v>
      </x:c>
      <x:c r="E71" s="35" t="n">
        <x:f>YEAR(D71)</x:f>
        <x:v>1988</x:v>
      </x:c>
      <x:c r="F71" s="35" t="str">
        <x:f>TEXT(D71,"yyyy-mm")</x:f>
        <x:v>1988-05</x:v>
      </x:c>
      <x:c r="G71" s="35" t="n">
        <x:f>COUNTIF($D$2:$D$102,D71)</x:f>
        <x:v>10</x:v>
      </x:c>
      <x:c r="H71" s="35" t="str">
        <x:v>Dead</x:v>
      </x:c>
      <x:c r="I71" s="35" t="str">
        <x:v>COLUMBUS</x:v>
      </x:c>
      <x:c r="J71" s="35" t="str">
        <x:v>FRANKLIN</x:v>
      </x:c>
      <x:c r="K71" s="35" t="str">
        <x:v>OHIO</x:v>
      </x:c>
      <x:c r="L71" s="35" t="str">
        <x:v>Property-suggestive name</x:v>
      </x:c>
      <x:c r="M71" s="35" t="str"/>
      <x:c r="N71" s="35" t="str">
        <x:f>IF(M71&lt;&gt;"","1 - Anchor",IF(L71="Explicit network-name lead","1 - Network lead",IF(G71&gt;=6,"2 - Date batch","3 - Baseline")))</x:f>
        <x:v>2 - Date batch</x:v>
      </x:c>
      <x:c r="O71" s="35" t="str">
        <x:v>Not Started</x:v>
      </x:c>
      <x:c r="P71" s="36"/>
      <x:c r="Q71" s="35" t="str"/>
      <x:c r="R71" s="35" t="str">
        <x:v>Unknown</x:v>
      </x:c>
      <x:c r="S71" s="35" t="str"/>
      <x:c r="T71" s="36"/>
      <x:c r="U71" s="35" t="str"/>
      <x:c r="V71" s="35" t="str"/>
      <x:c r="W71" s="35" t="str"/>
      <x:c r="X71" s="35" t="str"/>
      <x:c r="Y71" s="35" t="str">
        <x:v>Not Started</x:v>
      </x:c>
      <x:c r="Z71" s="35" t="str"/>
      <x:c r="AA71" s="35" t="str">
        <x:v>No Exact Hit</x:v>
      </x:c>
      <x:c r="AB71" s="35" t="str">
        <x:v>Unassessed</x:v>
      </x:c>
      <x:c r="AC71" s="35" t="str"/>
      <x:c r="AD71" s="37" t="str"/>
    </x:row>
    <x:row r="72">
      <x:c r="A72" s="50" t="str">
        <x:v>724617</x:v>
      </x:c>
      <x:c r="B72" s="35" t="str">
        <x:v>LANDES MANAGEMENT CORPORATION</x:v>
      </x:c>
      <x:c r="C72" s="35" t="str">
        <x:v>CORPORATION FOR PROFIT</x:v>
      </x:c>
      <x:c r="D72" s="36" t="n">
        <x:v>32276</x:v>
      </x:c>
      <x:c r="E72" s="35" t="n">
        <x:f>YEAR(D72)</x:f>
        <x:v>1988</x:v>
      </x:c>
      <x:c r="F72" s="35" t="str">
        <x:f>TEXT(D72,"yyyy-mm")</x:f>
        <x:v>1988-05</x:v>
      </x:c>
      <x:c r="G72" s="35" t="n">
        <x:f>COUNTIF($D$2:$D$102,D72)</x:f>
        <x:v>10</x:v>
      </x:c>
      <x:c r="H72" s="35" t="str">
        <x:v>Dead</x:v>
      </x:c>
      <x:c r="I72" s="35" t="str">
        <x:v>COLUMBUS</x:v>
      </x:c>
      <x:c r="J72" s="35" t="str">
        <x:v>FRANKLIN</x:v>
      </x:c>
      <x:c r="K72" s="35" t="str">
        <x:v>OHIO</x:v>
      </x:c>
      <x:c r="L72" s="35" t="str">
        <x:v>Investment/holding/management name</x:v>
      </x:c>
      <x:c r="M72" s="35" t="str"/>
      <x:c r="N72" s="35" t="str">
        <x:f>IF(M72&lt;&gt;"","1 - Anchor",IF(L72="Explicit network-name lead","1 - Network lead",IF(G72&gt;=6,"2 - Date batch","3 - Baseline")))</x:f>
        <x:v>2 - Date batch</x:v>
      </x:c>
      <x:c r="O72" s="35" t="str">
        <x:v>Not Started</x:v>
      </x:c>
      <x:c r="P72" s="36"/>
      <x:c r="Q72" s="35" t="str"/>
      <x:c r="R72" s="35" t="str">
        <x:v>Unknown</x:v>
      </x:c>
      <x:c r="S72" s="35" t="str"/>
      <x:c r="T72" s="36"/>
      <x:c r="U72" s="35" t="str"/>
      <x:c r="V72" s="35" t="str"/>
      <x:c r="W72" s="35" t="str"/>
      <x:c r="X72" s="35" t="str"/>
      <x:c r="Y72" s="35" t="str">
        <x:v>Not Started</x:v>
      </x:c>
      <x:c r="Z72" s="35" t="str"/>
      <x:c r="AA72" s="35" t="str">
        <x:v>No Exact Hit</x:v>
      </x:c>
      <x:c r="AB72" s="35" t="str">
        <x:v>Unassessed</x:v>
      </x:c>
      <x:c r="AC72" s="35" t="str"/>
      <x:c r="AD72" s="37" t="str"/>
    </x:row>
    <x:row r="73">
      <x:c r="A73" s="50" t="str">
        <x:v>724618</x:v>
      </x:c>
      <x:c r="B73" s="35" t="str">
        <x:v>MAYCOR INCORPORATED</x:v>
      </x:c>
      <x:c r="C73" s="35" t="str">
        <x:v>CORPORATION FOR PROFIT</x:v>
      </x:c>
      <x:c r="D73" s="36" t="n">
        <x:v>32276</x:v>
      </x:c>
      <x:c r="E73" s="35" t="n">
        <x:f>YEAR(D73)</x:f>
        <x:v>1988</x:v>
      </x:c>
      <x:c r="F73" s="35" t="str">
        <x:f>TEXT(D73,"yyyy-mm")</x:f>
        <x:v>1988-05</x:v>
      </x:c>
      <x:c r="G73" s="35" t="n">
        <x:f>COUNTIF($D$2:$D$102,D73)</x:f>
        <x:v>10</x:v>
      </x:c>
      <x:c r="H73" s="35" t="str">
        <x:v>Dead</x:v>
      </x:c>
      <x:c r="I73" s="35" t="str">
        <x:v>COLUMBUS</x:v>
      </x:c>
      <x:c r="J73" s="35" t="str">
        <x:v>FRANKLIN</x:v>
      </x:c>
      <x:c r="K73" s="35" t="str">
        <x:v>OHIO</x:v>
      </x:c>
      <x:c r="L73" s="35" t="str">
        <x:v>Other or operating-company name</x:v>
      </x:c>
      <x:c r="M73" s="35" t="str"/>
      <x:c r="N73" s="35" t="str">
        <x:f>IF(M73&lt;&gt;"","1 - Anchor",IF(L73="Explicit network-name lead","1 - Network lead",IF(G73&gt;=6,"2 - Date batch","3 - Baseline")))</x:f>
        <x:v>2 - Date batch</x:v>
      </x:c>
      <x:c r="O73" s="35" t="str">
        <x:v>Not Started</x:v>
      </x:c>
      <x:c r="P73" s="36"/>
      <x:c r="Q73" s="35" t="str"/>
      <x:c r="R73" s="35" t="str">
        <x:v>Unknown</x:v>
      </x:c>
      <x:c r="S73" s="35" t="str"/>
      <x:c r="T73" s="36"/>
      <x:c r="U73" s="35" t="str"/>
      <x:c r="V73" s="35" t="str"/>
      <x:c r="W73" s="35" t="str"/>
      <x:c r="X73" s="35" t="str"/>
      <x:c r="Y73" s="35" t="str">
        <x:v>Not Started</x:v>
      </x:c>
      <x:c r="Z73" s="35" t="str"/>
      <x:c r="AA73" s="35" t="str">
        <x:v>No Exact Hit</x:v>
      </x:c>
      <x:c r="AB73" s="35" t="str">
        <x:v>Unassessed</x:v>
      </x:c>
      <x:c r="AC73" s="35" t="str"/>
      <x:c r="AD73" s="37" t="str"/>
    </x:row>
    <x:row r="74">
      <x:c r="A74" s="50" t="str">
        <x:v>724619</x:v>
      </x:c>
      <x:c r="B74" s="35" t="str">
        <x:v>MELLERIC CORPORATION</x:v>
      </x:c>
      <x:c r="C74" s="35" t="str">
        <x:v>CORPORATION FOR PROFIT</x:v>
      </x:c>
      <x:c r="D74" s="36" t="n">
        <x:v>32276</x:v>
      </x:c>
      <x:c r="E74" s="35" t="n">
        <x:f>YEAR(D74)</x:f>
        <x:v>1988</x:v>
      </x:c>
      <x:c r="F74" s="35" t="str">
        <x:f>TEXT(D74,"yyyy-mm")</x:f>
        <x:v>1988-05</x:v>
      </x:c>
      <x:c r="G74" s="35" t="n">
        <x:f>COUNTIF($D$2:$D$102,D74)</x:f>
        <x:v>10</x:v>
      </x:c>
      <x:c r="H74" s="35" t="str">
        <x:v>Dead</x:v>
      </x:c>
      <x:c r="I74" s="35" t="str">
        <x:v>COLUMBUS</x:v>
      </x:c>
      <x:c r="J74" s="35" t="str">
        <x:v>FRANKLIN</x:v>
      </x:c>
      <x:c r="K74" s="35" t="str">
        <x:v>OHIO</x:v>
      </x:c>
      <x:c r="L74" s="35" t="str">
        <x:v>Other or operating-company name</x:v>
      </x:c>
      <x:c r="M74" s="35" t="str"/>
      <x:c r="N74" s="35" t="str">
        <x:f>IF(M74&lt;&gt;"","1 - Anchor",IF(L74="Explicit network-name lead","1 - Network lead",IF(G74&gt;=6,"2 - Date batch","3 - Baseline")))</x:f>
        <x:v>2 - Date batch</x:v>
      </x:c>
      <x:c r="O74" s="35" t="str">
        <x:v>Not Started</x:v>
      </x:c>
      <x:c r="P74" s="36"/>
      <x:c r="Q74" s="35" t="str"/>
      <x:c r="R74" s="35" t="str">
        <x:v>Unknown</x:v>
      </x:c>
      <x:c r="S74" s="35" t="str"/>
      <x:c r="T74" s="36"/>
      <x:c r="U74" s="35" t="str"/>
      <x:c r="V74" s="35" t="str"/>
      <x:c r="W74" s="35" t="str"/>
      <x:c r="X74" s="35" t="str"/>
      <x:c r="Y74" s="35" t="str">
        <x:v>Not Started</x:v>
      </x:c>
      <x:c r="Z74" s="35" t="str"/>
      <x:c r="AA74" s="35" t="str">
        <x:v>No Exact Hit</x:v>
      </x:c>
      <x:c r="AB74" s="35" t="str">
        <x:v>Unassessed</x:v>
      </x:c>
      <x:c r="AC74" s="35" t="str"/>
      <x:c r="AD74" s="37" t="str"/>
    </x:row>
    <x:row r="75">
      <x:c r="A75" s="50" t="str">
        <x:v>724620</x:v>
      </x:c>
      <x:c r="B75" s="35" t="str">
        <x:v>SUMMIT HOLDING, INC.</x:v>
      </x:c>
      <x:c r="C75" s="35" t="str">
        <x:v>CORPORATION FOR PROFIT</x:v>
      </x:c>
      <x:c r="D75" s="36" t="n">
        <x:v>32276</x:v>
      </x:c>
      <x:c r="E75" s="35" t="n">
        <x:f>YEAR(D75)</x:f>
        <x:v>1988</x:v>
      </x:c>
      <x:c r="F75" s="35" t="str">
        <x:f>TEXT(D75,"yyyy-mm")</x:f>
        <x:v>1988-05</x:v>
      </x:c>
      <x:c r="G75" s="35" t="n">
        <x:f>COUNTIF($D$2:$D$102,D75)</x:f>
        <x:v>10</x:v>
      </x:c>
      <x:c r="H75" s="35" t="str">
        <x:v>Dead</x:v>
      </x:c>
      <x:c r="I75" s="35" t="str">
        <x:v>COLUMBUS</x:v>
      </x:c>
      <x:c r="J75" s="35" t="str">
        <x:v>FRANKLIN</x:v>
      </x:c>
      <x:c r="K75" s="35" t="str">
        <x:v>OHIO</x:v>
      </x:c>
      <x:c r="L75" s="35" t="str">
        <x:v>Investment/holding/management name</x:v>
      </x:c>
      <x:c r="M75" s="35" t="str"/>
      <x:c r="N75" s="35" t="str">
        <x:f>IF(M75&lt;&gt;"","1 - Anchor",IF(L75="Explicit network-name lead","1 - Network lead",IF(G75&gt;=6,"2 - Date batch","3 - Baseline")))</x:f>
        <x:v>2 - Date batch</x:v>
      </x:c>
      <x:c r="O75" s="35" t="str">
        <x:v>Not Started</x:v>
      </x:c>
      <x:c r="P75" s="36"/>
      <x:c r="Q75" s="35" t="str"/>
      <x:c r="R75" s="35" t="str">
        <x:v>Unknown</x:v>
      </x:c>
      <x:c r="S75" s="35" t="str"/>
      <x:c r="T75" s="36"/>
      <x:c r="U75" s="35" t="str"/>
      <x:c r="V75" s="35" t="str"/>
      <x:c r="W75" s="35" t="str"/>
      <x:c r="X75" s="35" t="str"/>
      <x:c r="Y75" s="35" t="str">
        <x:v>Not Started</x:v>
      </x:c>
      <x:c r="Z75" s="35" t="str"/>
      <x:c r="AA75" s="35" t="str">
        <x:v>No Exact Hit</x:v>
      </x:c>
      <x:c r="AB75" s="35" t="str">
        <x:v>Unassessed</x:v>
      </x:c>
      <x:c r="AC75" s="35" t="str"/>
      <x:c r="AD75" s="37" t="str"/>
    </x:row>
    <x:row r="76">
      <x:c r="A76" s="50" t="str">
        <x:v>724621</x:v>
      </x:c>
      <x:c r="B76" s="35" t="str">
        <x:v>UNION HOLDING CORPORATION</x:v>
      </x:c>
      <x:c r="C76" s="35" t="str">
        <x:v>CORPORATION FOR PROFIT</x:v>
      </x:c>
      <x:c r="D76" s="36" t="n">
        <x:v>32276</x:v>
      </x:c>
      <x:c r="E76" s="35" t="n">
        <x:f>YEAR(D76)</x:f>
        <x:v>1988</x:v>
      </x:c>
      <x:c r="F76" s="35" t="str">
        <x:f>TEXT(D76,"yyyy-mm")</x:f>
        <x:v>1988-05</x:v>
      </x:c>
      <x:c r="G76" s="35" t="n">
        <x:f>COUNTIF($D$2:$D$102,D76)</x:f>
        <x:v>10</x:v>
      </x:c>
      <x:c r="H76" s="35" t="str">
        <x:v>Dead</x:v>
      </x:c>
      <x:c r="I76" s="35" t="str">
        <x:v>COLUMBUS</x:v>
      </x:c>
      <x:c r="J76" s="35" t="str">
        <x:v>FRANKLIN</x:v>
      </x:c>
      <x:c r="K76" s="35" t="str">
        <x:v>OHIO</x:v>
      </x:c>
      <x:c r="L76" s="35" t="str">
        <x:v>Investment/holding/management name</x:v>
      </x:c>
      <x:c r="M76" s="35" t="str"/>
      <x:c r="N76" s="35" t="str">
        <x:f>IF(M76&lt;&gt;"","1 - Anchor",IF(L76="Explicit network-name lead","1 - Network lead",IF(G76&gt;=6,"2 - Date batch","3 - Baseline")))</x:f>
        <x:v>2 - Date batch</x:v>
      </x:c>
      <x:c r="O76" s="35" t="str">
        <x:v>Not Started</x:v>
      </x:c>
      <x:c r="P76" s="36"/>
      <x:c r="Q76" s="35" t="str"/>
      <x:c r="R76" s="35" t="str">
        <x:v>Unknown</x:v>
      </x:c>
      <x:c r="S76" s="35" t="str"/>
      <x:c r="T76" s="36"/>
      <x:c r="U76" s="35" t="str"/>
      <x:c r="V76" s="35" t="str"/>
      <x:c r="W76" s="35" t="str"/>
      <x:c r="X76" s="35" t="str"/>
      <x:c r="Y76" s="35" t="str">
        <x:v>Not Started</x:v>
      </x:c>
      <x:c r="Z76" s="35" t="str"/>
      <x:c r="AA76" s="35" t="str">
        <x:v>No Exact Hit</x:v>
      </x:c>
      <x:c r="AB76" s="35" t="str">
        <x:v>Unassessed</x:v>
      </x:c>
      <x:c r="AC76" s="35" t="str"/>
      <x:c r="AD76" s="37" t="str"/>
    </x:row>
    <x:row r="77">
      <x:c r="A77" s="50" t="str">
        <x:v>728764</x:v>
      </x:c>
      <x:c r="B77" s="35" t="str">
        <x:v>ARGOTRON CORPORATION</x:v>
      </x:c>
      <x:c r="C77" s="35" t="str">
        <x:v>CORPORATION FOR PROFIT</x:v>
      </x:c>
      <x:c r="D77" s="36" t="n">
        <x:v>32339</x:v>
      </x:c>
      <x:c r="E77" s="35" t="n">
        <x:f>YEAR(D77)</x:f>
        <x:v>1988</x:v>
      </x:c>
      <x:c r="F77" s="35" t="str">
        <x:f>TEXT(D77,"yyyy-mm")</x:f>
        <x:v>1988-07</x:v>
      </x:c>
      <x:c r="G77" s="35" t="n">
        <x:f>COUNTIF($D$2:$D$102,D77)</x:f>
        <x:v>6</x:v>
      </x:c>
      <x:c r="H77" s="35" t="str">
        <x:v>Dead</x:v>
      </x:c>
      <x:c r="I77" s="35" t="str">
        <x:v>COLUMBUS</x:v>
      </x:c>
      <x:c r="J77" s="35" t="str">
        <x:v>FRANKLIN</x:v>
      </x:c>
      <x:c r="K77" s="35" t="str">
        <x:v>OHIO</x:v>
      </x:c>
      <x:c r="L77" s="35" t="str">
        <x:v>Other or operating-company name</x:v>
      </x:c>
      <x:c r="M77" s="35" t="str"/>
      <x:c r="N77" s="35" t="str">
        <x:f>IF(M77&lt;&gt;"","1 - Anchor",IF(L77="Explicit network-name lead","1 - Network lead",IF(G77&gt;=6,"2 - Date batch","3 - Baseline")))</x:f>
        <x:v>2 - Date batch</x:v>
      </x:c>
      <x:c r="O77" s="35" t="str">
        <x:v>Not Started</x:v>
      </x:c>
      <x:c r="P77" s="36"/>
      <x:c r="Q77" s="35" t="str"/>
      <x:c r="R77" s="35" t="str">
        <x:v>Unknown</x:v>
      </x:c>
      <x:c r="S77" s="35" t="str"/>
      <x:c r="T77" s="36"/>
      <x:c r="U77" s="35" t="str"/>
      <x:c r="V77" s="35" t="str"/>
      <x:c r="W77" s="35" t="str"/>
      <x:c r="X77" s="35" t="str"/>
      <x:c r="Y77" s="35" t="str">
        <x:v>Not Started</x:v>
      </x:c>
      <x:c r="Z77" s="35" t="str"/>
      <x:c r="AA77" s="35" t="str">
        <x:v>No Exact Hit</x:v>
      </x:c>
      <x:c r="AB77" s="35" t="str">
        <x:v>Unassessed</x:v>
      </x:c>
      <x:c r="AC77" s="35" t="str"/>
      <x:c r="AD77" s="37" t="str"/>
    </x:row>
    <x:row r="78">
      <x:c r="A78" s="50" t="str">
        <x:v>728765</x:v>
      </x:c>
      <x:c r="B78" s="35" t="str">
        <x:v>CURRANT CORPORATION</x:v>
      </x:c>
      <x:c r="C78" s="35" t="str">
        <x:v>CORPORATION FOR PROFIT</x:v>
      </x:c>
      <x:c r="D78" s="36" t="n">
        <x:v>32339</x:v>
      </x:c>
      <x:c r="E78" s="35" t="n">
        <x:f>YEAR(D78)</x:f>
        <x:v>1988</x:v>
      </x:c>
      <x:c r="F78" s="35" t="str">
        <x:f>TEXT(D78,"yyyy-mm")</x:f>
        <x:v>1988-07</x:v>
      </x:c>
      <x:c r="G78" s="35" t="n">
        <x:f>COUNTIF($D$2:$D$102,D78)</x:f>
        <x:v>6</x:v>
      </x:c>
      <x:c r="H78" s="35" t="str">
        <x:v>Dead</x:v>
      </x:c>
      <x:c r="I78" s="35" t="str">
        <x:v>COLUMBUS</x:v>
      </x:c>
      <x:c r="J78" s="35" t="str">
        <x:v>FRANKLIN</x:v>
      </x:c>
      <x:c r="K78" s="35" t="str">
        <x:v>OHIO</x:v>
      </x:c>
      <x:c r="L78" s="35" t="str">
        <x:v>Other or operating-company name</x:v>
      </x:c>
      <x:c r="M78" s="35" t="str"/>
      <x:c r="N78" s="35" t="str">
        <x:f>IF(M78&lt;&gt;"","1 - Anchor",IF(L78="Explicit network-name lead","1 - Network lead",IF(G78&gt;=6,"2 - Date batch","3 - Baseline")))</x:f>
        <x:v>2 - Date batch</x:v>
      </x:c>
      <x:c r="O78" s="35" t="str">
        <x:v>Not Started</x:v>
      </x:c>
      <x:c r="P78" s="36"/>
      <x:c r="Q78" s="35" t="str"/>
      <x:c r="R78" s="35" t="str">
        <x:v>Unknown</x:v>
      </x:c>
      <x:c r="S78" s="35" t="str"/>
      <x:c r="T78" s="36"/>
      <x:c r="U78" s="35" t="str"/>
      <x:c r="V78" s="35" t="str"/>
      <x:c r="W78" s="35" t="str"/>
      <x:c r="X78" s="35" t="str"/>
      <x:c r="Y78" s="35" t="str">
        <x:v>Not Started</x:v>
      </x:c>
      <x:c r="Z78" s="35" t="str"/>
      <x:c r="AA78" s="35" t="str">
        <x:v>No Exact Hit</x:v>
      </x:c>
      <x:c r="AB78" s="35" t="str">
        <x:v>Unassessed</x:v>
      </x:c>
      <x:c r="AC78" s="35" t="str"/>
      <x:c r="AD78" s="37" t="str"/>
    </x:row>
    <x:row r="79">
      <x:c r="A79" s="50" t="str">
        <x:v>728766</x:v>
      </x:c>
      <x:c r="B79" s="35" t="str">
        <x:v>MACKINAW MARKETING CO.</x:v>
      </x:c>
      <x:c r="C79" s="35" t="str">
        <x:v>CORPORATION FOR PROFIT</x:v>
      </x:c>
      <x:c r="D79" s="36" t="n">
        <x:v>32339</x:v>
      </x:c>
      <x:c r="E79" s="35" t="n">
        <x:f>YEAR(D79)</x:f>
        <x:v>1988</x:v>
      </x:c>
      <x:c r="F79" s="35" t="str">
        <x:f>TEXT(D79,"yyyy-mm")</x:f>
        <x:v>1988-07</x:v>
      </x:c>
      <x:c r="G79" s="35" t="n">
        <x:f>COUNTIF($D$2:$D$102,D79)</x:f>
        <x:v>6</x:v>
      </x:c>
      <x:c r="H79" s="35" t="str">
        <x:v>Dead</x:v>
      </x:c>
      <x:c r="I79" s="35" t="str">
        <x:v>COLUMBUS</x:v>
      </x:c>
      <x:c r="J79" s="35" t="str">
        <x:v>FRANKLIN</x:v>
      </x:c>
      <x:c r="K79" s="35" t="str">
        <x:v>OHIO</x:v>
      </x:c>
      <x:c r="L79" s="35" t="str">
        <x:v>Other or operating-company name</x:v>
      </x:c>
      <x:c r="M79" s="35" t="str"/>
      <x:c r="N79" s="35" t="str">
        <x:f>IF(M79&lt;&gt;"","1 - Anchor",IF(L79="Explicit network-name lead","1 - Network lead",IF(G79&gt;=6,"2 - Date batch","3 - Baseline")))</x:f>
        <x:v>2 - Date batch</x:v>
      </x:c>
      <x:c r="O79" s="35" t="str">
        <x:v>Not Started</x:v>
      </x:c>
      <x:c r="P79" s="36"/>
      <x:c r="Q79" s="35" t="str"/>
      <x:c r="R79" s="35" t="str">
        <x:v>Unknown</x:v>
      </x:c>
      <x:c r="S79" s="35" t="str"/>
      <x:c r="T79" s="36"/>
      <x:c r="U79" s="35" t="str"/>
      <x:c r="V79" s="35" t="str"/>
      <x:c r="W79" s="35" t="str"/>
      <x:c r="X79" s="35" t="str"/>
      <x:c r="Y79" s="35" t="str">
        <x:v>Not Started</x:v>
      </x:c>
      <x:c r="Z79" s="35" t="str"/>
      <x:c r="AA79" s="35" t="str">
        <x:v>No Exact Hit</x:v>
      </x:c>
      <x:c r="AB79" s="35" t="str">
        <x:v>Unassessed</x:v>
      </x:c>
      <x:c r="AC79" s="35" t="str"/>
      <x:c r="AD79" s="37" t="str"/>
    </x:row>
    <x:row r="80">
      <x:c r="A80" s="50" t="str">
        <x:v>728767</x:v>
      </x:c>
      <x:c r="B80" s="35" t="str">
        <x:v>MARGIN MANAGEMENT COMPANY</x:v>
      </x:c>
      <x:c r="C80" s="35" t="str">
        <x:v>CORPORATION FOR PROFIT</x:v>
      </x:c>
      <x:c r="D80" s="36" t="n">
        <x:v>32339</x:v>
      </x:c>
      <x:c r="E80" s="35" t="n">
        <x:f>YEAR(D80)</x:f>
        <x:v>1988</x:v>
      </x:c>
      <x:c r="F80" s="35" t="str">
        <x:f>TEXT(D80,"yyyy-mm")</x:f>
        <x:v>1988-07</x:v>
      </x:c>
      <x:c r="G80" s="35" t="n">
        <x:f>COUNTIF($D$2:$D$102,D80)</x:f>
        <x:v>6</x:v>
      </x:c>
      <x:c r="H80" s="35" t="str">
        <x:v>Dead</x:v>
      </x:c>
      <x:c r="I80" s="35" t="str">
        <x:v>COLUMBUS</x:v>
      </x:c>
      <x:c r="J80" s="35" t="str">
        <x:v>FRANKLIN</x:v>
      </x:c>
      <x:c r="K80" s="35" t="str">
        <x:v>OHIO</x:v>
      </x:c>
      <x:c r="L80" s="35" t="str">
        <x:v>Investment/holding/management name</x:v>
      </x:c>
      <x:c r="M80" s="35" t="str"/>
      <x:c r="N80" s="35" t="str">
        <x:f>IF(M80&lt;&gt;"","1 - Anchor",IF(L80="Explicit network-name lead","1 - Network lead",IF(G80&gt;=6,"2 - Date batch","3 - Baseline")))</x:f>
        <x:v>2 - Date batch</x:v>
      </x:c>
      <x:c r="O80" s="35" t="str">
        <x:v>Not Started</x:v>
      </x:c>
      <x:c r="P80" s="36"/>
      <x:c r="Q80" s="35" t="str"/>
      <x:c r="R80" s="35" t="str">
        <x:v>Unknown</x:v>
      </x:c>
      <x:c r="S80" s="35" t="str"/>
      <x:c r="T80" s="36"/>
      <x:c r="U80" s="35" t="str"/>
      <x:c r="V80" s="35" t="str"/>
      <x:c r="W80" s="35" t="str"/>
      <x:c r="X80" s="35" t="str"/>
      <x:c r="Y80" s="35" t="str">
        <x:v>Not Started</x:v>
      </x:c>
      <x:c r="Z80" s="35" t="str"/>
      <x:c r="AA80" s="35" t="str">
        <x:v>No Exact Hit</x:v>
      </x:c>
      <x:c r="AB80" s="35" t="str">
        <x:v>Unassessed</x:v>
      </x:c>
      <x:c r="AC80" s="35" t="str"/>
      <x:c r="AD80" s="37" t="str"/>
    </x:row>
    <x:row r="81">
      <x:c r="A81" s="50" t="str">
        <x:v>728768</x:v>
      </x:c>
      <x:c r="B81" s="35" t="str">
        <x:v>SCRIPTON PRODUCTS, INC.</x:v>
      </x:c>
      <x:c r="C81" s="35" t="str">
        <x:v>CORPORATION FOR PROFIT</x:v>
      </x:c>
      <x:c r="D81" s="36" t="n">
        <x:v>32339</x:v>
      </x:c>
      <x:c r="E81" s="35" t="n">
        <x:f>YEAR(D81)</x:f>
        <x:v>1988</x:v>
      </x:c>
      <x:c r="F81" s="35" t="str">
        <x:f>TEXT(D81,"yyyy-mm")</x:f>
        <x:v>1988-07</x:v>
      </x:c>
      <x:c r="G81" s="35" t="n">
        <x:f>COUNTIF($D$2:$D$102,D81)</x:f>
        <x:v>6</x:v>
      </x:c>
      <x:c r="H81" s="35" t="str">
        <x:v>Dead</x:v>
      </x:c>
      <x:c r="I81" s="35" t="str">
        <x:v>COLUMBUS</x:v>
      </x:c>
      <x:c r="J81" s="35" t="str">
        <x:v>FRANKLIN</x:v>
      </x:c>
      <x:c r="K81" s="35" t="str">
        <x:v>OHIO</x:v>
      </x:c>
      <x:c r="L81" s="35" t="str">
        <x:v>Other or operating-company name</x:v>
      </x:c>
      <x:c r="M81" s="35" t="str"/>
      <x:c r="N81" s="35" t="str">
        <x:f>IF(M81&lt;&gt;"","1 - Anchor",IF(L81="Explicit network-name lead","1 - Network lead",IF(G81&gt;=6,"2 - Date batch","3 - Baseline")))</x:f>
        <x:v>2 - Date batch</x:v>
      </x:c>
      <x:c r="O81" s="35" t="str">
        <x:v>Not Started</x:v>
      </x:c>
      <x:c r="P81" s="36"/>
      <x:c r="Q81" s="35" t="str"/>
      <x:c r="R81" s="35" t="str">
        <x:v>Unknown</x:v>
      </x:c>
      <x:c r="S81" s="35" t="str"/>
      <x:c r="T81" s="36"/>
      <x:c r="U81" s="35" t="str"/>
      <x:c r="V81" s="35" t="str"/>
      <x:c r="W81" s="35" t="str"/>
      <x:c r="X81" s="35" t="str"/>
      <x:c r="Y81" s="35" t="str">
        <x:v>Not Started</x:v>
      </x:c>
      <x:c r="Z81" s="35" t="str"/>
      <x:c r="AA81" s="35" t="str">
        <x:v>No Exact Hit</x:v>
      </x:c>
      <x:c r="AB81" s="35" t="str">
        <x:v>Unassessed</x:v>
      </x:c>
      <x:c r="AC81" s="35" t="str"/>
      <x:c r="AD81" s="37" t="str"/>
    </x:row>
    <x:row r="82">
      <x:c r="A82" s="50" t="str">
        <x:v>728763</x:v>
      </x:c>
      <x:c r="B82" s="35" t="str">
        <x:v>WHEATON COMPANY</x:v>
      </x:c>
      <x:c r="C82" s="35" t="str">
        <x:v>CORPORATION FOR PROFIT</x:v>
      </x:c>
      <x:c r="D82" s="36" t="n">
        <x:v>32339</x:v>
      </x:c>
      <x:c r="E82" s="35" t="n">
        <x:f>YEAR(D82)</x:f>
        <x:v>1988</x:v>
      </x:c>
      <x:c r="F82" s="35" t="str">
        <x:f>TEXT(D82,"yyyy-mm")</x:f>
        <x:v>1988-07</x:v>
      </x:c>
      <x:c r="G82" s="35" t="n">
        <x:f>COUNTIF($D$2:$D$102,D82)</x:f>
        <x:v>6</x:v>
      </x:c>
      <x:c r="H82" s="35" t="str">
        <x:v>Dead</x:v>
      </x:c>
      <x:c r="I82" s="35" t="str">
        <x:v>COLUMBUS</x:v>
      </x:c>
      <x:c r="J82" s="35" t="str">
        <x:v>FRANKLIN</x:v>
      </x:c>
      <x:c r="K82" s="35" t="str">
        <x:v>OHIO</x:v>
      </x:c>
      <x:c r="L82" s="35" t="str">
        <x:v>Other or operating-company name</x:v>
      </x:c>
      <x:c r="M82" s="35" t="str"/>
      <x:c r="N82" s="35" t="str">
        <x:f>IF(M82&lt;&gt;"","1 - Anchor",IF(L82="Explicit network-name lead","1 - Network lead",IF(G82&gt;=6,"2 - Date batch","3 - Baseline")))</x:f>
        <x:v>2 - Date batch</x:v>
      </x:c>
      <x:c r="O82" s="35" t="str">
        <x:v>Not Started</x:v>
      </x:c>
      <x:c r="P82" s="36"/>
      <x:c r="Q82" s="35" t="str"/>
      <x:c r="R82" s="35" t="str">
        <x:v>Unknown</x:v>
      </x:c>
      <x:c r="S82" s="35" t="str"/>
      <x:c r="T82" s="36"/>
      <x:c r="U82" s="35" t="str"/>
      <x:c r="V82" s="35" t="str"/>
      <x:c r="W82" s="35" t="str"/>
      <x:c r="X82" s="35" t="str"/>
      <x:c r="Y82" s="35" t="str">
        <x:v>Not Started</x:v>
      </x:c>
      <x:c r="Z82" s="35" t="str"/>
      <x:c r="AA82" s="35" t="str">
        <x:v>No Exact Hit</x:v>
      </x:c>
      <x:c r="AB82" s="35" t="str">
        <x:v>Unassessed</x:v>
      </x:c>
      <x:c r="AC82" s="35" t="str"/>
      <x:c r="AD82" s="37" t="str"/>
    </x:row>
    <x:row r="83">
      <x:c r="A83" s="50" t="str">
        <x:v>731362</x:v>
      </x:c>
      <x:c r="B83" s="35" t="str">
        <x:v>CHATTEN MARKETING COMPANY</x:v>
      </x:c>
      <x:c r="C83" s="35" t="str">
        <x:v>CORPORATION FOR PROFIT</x:v>
      </x:c>
      <x:c r="D83" s="36" t="n">
        <x:v>32379</x:v>
      </x:c>
      <x:c r="E83" s="35" t="n">
        <x:f>YEAR(D83)</x:f>
        <x:v>1988</x:v>
      </x:c>
      <x:c r="F83" s="35" t="str">
        <x:f>TEXT(D83,"yyyy-mm")</x:f>
        <x:v>1988-08</x:v>
      </x:c>
      <x:c r="G83" s="35" t="n">
        <x:f>COUNTIF($D$2:$D$102,D83)</x:f>
        <x:v>6</x:v>
      </x:c>
      <x:c r="H83" s="35" t="str">
        <x:v>Dead</x:v>
      </x:c>
      <x:c r="I83" s="35" t="str">
        <x:v>COLUMBUS</x:v>
      </x:c>
      <x:c r="J83" s="35" t="str">
        <x:v>FRANKLIN</x:v>
      </x:c>
      <x:c r="K83" s="35" t="str">
        <x:v>OHIO</x:v>
      </x:c>
      <x:c r="L83" s="35" t="str">
        <x:v>Other or operating-company name</x:v>
      </x:c>
      <x:c r="M83" s="35" t="str"/>
      <x:c r="N83" s="35" t="str">
        <x:f>IF(M83&lt;&gt;"","1 - Anchor",IF(L83="Explicit network-name lead","1 - Network lead",IF(G83&gt;=6,"2 - Date batch","3 - Baseline")))</x:f>
        <x:v>2 - Date batch</x:v>
      </x:c>
      <x:c r="O83" s="35" t="str">
        <x:v>Not Started</x:v>
      </x:c>
      <x:c r="P83" s="36"/>
      <x:c r="Q83" s="35" t="str"/>
      <x:c r="R83" s="35" t="str">
        <x:v>Unknown</x:v>
      </x:c>
      <x:c r="S83" s="35" t="str"/>
      <x:c r="T83" s="36"/>
      <x:c r="U83" s="35" t="str"/>
      <x:c r="V83" s="35" t="str"/>
      <x:c r="W83" s="35" t="str"/>
      <x:c r="X83" s="35" t="str"/>
      <x:c r="Y83" s="35" t="str">
        <x:v>Not Started</x:v>
      </x:c>
      <x:c r="Z83" s="35" t="str"/>
      <x:c r="AA83" s="35" t="str">
        <x:v>No Exact Hit</x:v>
      </x:c>
      <x:c r="AB83" s="35" t="str">
        <x:v>Unassessed</x:v>
      </x:c>
      <x:c r="AC83" s="35" t="str"/>
      <x:c r="AD83" s="37" t="str"/>
    </x:row>
    <x:row r="84">
      <x:c r="A84" s="50" t="str">
        <x:v>731363</x:v>
      </x:c>
      <x:c r="B84" s="35" t="str">
        <x:v>FANTEL PRODUCTS COMPANY</x:v>
      </x:c>
      <x:c r="C84" s="35" t="str">
        <x:v>CORPORATION FOR PROFIT</x:v>
      </x:c>
      <x:c r="D84" s="36" t="n">
        <x:v>32379</x:v>
      </x:c>
      <x:c r="E84" s="35" t="n">
        <x:f>YEAR(D84)</x:f>
        <x:v>1988</x:v>
      </x:c>
      <x:c r="F84" s="35" t="str">
        <x:f>TEXT(D84,"yyyy-mm")</x:f>
        <x:v>1988-08</x:v>
      </x:c>
      <x:c r="G84" s="35" t="n">
        <x:f>COUNTIF($D$2:$D$102,D84)</x:f>
        <x:v>6</x:v>
      </x:c>
      <x:c r="H84" s="35" t="str">
        <x:v>Dead</x:v>
      </x:c>
      <x:c r="I84" s="35" t="str">
        <x:v>COLUMBUS</x:v>
      </x:c>
      <x:c r="J84" s="35" t="str">
        <x:v>FRANKLIN</x:v>
      </x:c>
      <x:c r="K84" s="35" t="str">
        <x:v>OHIO</x:v>
      </x:c>
      <x:c r="L84" s="35" t="str">
        <x:v>Other or operating-company name</x:v>
      </x:c>
      <x:c r="M84" s="35" t="str"/>
      <x:c r="N84" s="35" t="str">
        <x:f>IF(M84&lt;&gt;"","1 - Anchor",IF(L84="Explicit network-name lead","1 - Network lead",IF(G84&gt;=6,"2 - Date batch","3 - Baseline")))</x:f>
        <x:v>2 - Date batch</x:v>
      </x:c>
      <x:c r="O84" s="35" t="str">
        <x:v>Not Started</x:v>
      </x:c>
      <x:c r="P84" s="36"/>
      <x:c r="Q84" s="35" t="str"/>
      <x:c r="R84" s="35" t="str">
        <x:v>Unknown</x:v>
      </x:c>
      <x:c r="S84" s="35" t="str"/>
      <x:c r="T84" s="36"/>
      <x:c r="U84" s="35" t="str"/>
      <x:c r="V84" s="35" t="str"/>
      <x:c r="W84" s="35" t="str"/>
      <x:c r="X84" s="35" t="str"/>
      <x:c r="Y84" s="35" t="str">
        <x:v>Not Started</x:v>
      </x:c>
      <x:c r="Z84" s="35" t="str"/>
      <x:c r="AA84" s="35" t="str">
        <x:v>No Exact Hit</x:v>
      </x:c>
      <x:c r="AB84" s="35" t="str">
        <x:v>Unassessed</x:v>
      </x:c>
      <x:c r="AC84" s="35" t="str"/>
      <x:c r="AD84" s="37" t="str"/>
    </x:row>
    <x:row r="85">
      <x:c r="A85" s="50" t="str">
        <x:v>731364</x:v>
      </x:c>
      <x:c r="B85" s="35" t="str">
        <x:v>GRAETON DEVELOPMENT COMPANY</x:v>
      </x:c>
      <x:c r="C85" s="35" t="str">
        <x:v>CORPORATION FOR PROFIT</x:v>
      </x:c>
      <x:c r="D85" s="36" t="n">
        <x:v>32379</x:v>
      </x:c>
      <x:c r="E85" s="35" t="n">
        <x:f>YEAR(D85)</x:f>
        <x:v>1988</x:v>
      </x:c>
      <x:c r="F85" s="35" t="str">
        <x:f>TEXT(D85,"yyyy-mm")</x:f>
        <x:v>1988-08</x:v>
      </x:c>
      <x:c r="G85" s="35" t="n">
        <x:f>COUNTIF($D$2:$D$102,D85)</x:f>
        <x:v>6</x:v>
      </x:c>
      <x:c r="H85" s="35" t="str">
        <x:v>Dead</x:v>
      </x:c>
      <x:c r="I85" s="35" t="str">
        <x:v>COLUMBUS</x:v>
      </x:c>
      <x:c r="J85" s="35" t="str">
        <x:v>FRANKLIN</x:v>
      </x:c>
      <x:c r="K85" s="35" t="str">
        <x:v>OHIO</x:v>
      </x:c>
      <x:c r="L85" s="35" t="str">
        <x:v>Property-suggestive name</x:v>
      </x:c>
      <x:c r="M85" s="35" t="str"/>
      <x:c r="N85" s="35" t="str">
        <x:f>IF(M85&lt;&gt;"","1 - Anchor",IF(L85="Explicit network-name lead","1 - Network lead",IF(G85&gt;=6,"2 - Date batch","3 - Baseline")))</x:f>
        <x:v>2 - Date batch</x:v>
      </x:c>
      <x:c r="O85" s="35" t="str">
        <x:v>Not Started</x:v>
      </x:c>
      <x:c r="P85" s="36"/>
      <x:c r="Q85" s="35" t="str"/>
      <x:c r="R85" s="35" t="str">
        <x:v>Unknown</x:v>
      </x:c>
      <x:c r="S85" s="35" t="str"/>
      <x:c r="T85" s="36"/>
      <x:c r="U85" s="35" t="str"/>
      <x:c r="V85" s="35" t="str"/>
      <x:c r="W85" s="35" t="str"/>
      <x:c r="X85" s="35" t="str"/>
      <x:c r="Y85" s="35" t="str">
        <x:v>Not Started</x:v>
      </x:c>
      <x:c r="Z85" s="35" t="str"/>
      <x:c r="AA85" s="35" t="str">
        <x:v>No Exact Hit</x:v>
      </x:c>
      <x:c r="AB85" s="35" t="str">
        <x:v>Unassessed</x:v>
      </x:c>
      <x:c r="AC85" s="35" t="str"/>
      <x:c r="AD85" s="37" t="str"/>
    </x:row>
    <x:row r="86">
      <x:c r="A86" s="50" t="str">
        <x:v>731365</x:v>
      </x:c>
      <x:c r="B86" s="35" t="str">
        <x:v>INDICO INVESTMENTS, INC.</x:v>
      </x:c>
      <x:c r="C86" s="35" t="str">
        <x:v>CORPORATION FOR PROFIT</x:v>
      </x:c>
      <x:c r="D86" s="36" t="n">
        <x:v>32379</x:v>
      </x:c>
      <x:c r="E86" s="35" t="n">
        <x:f>YEAR(D86)</x:f>
        <x:v>1988</x:v>
      </x:c>
      <x:c r="F86" s="35" t="str">
        <x:f>TEXT(D86,"yyyy-mm")</x:f>
        <x:v>1988-08</x:v>
      </x:c>
      <x:c r="G86" s="35" t="n">
        <x:f>COUNTIF($D$2:$D$102,D86)</x:f>
        <x:v>6</x:v>
      </x:c>
      <x:c r="H86" s="35" t="str">
        <x:v>Dead</x:v>
      </x:c>
      <x:c r="I86" s="35" t="str">
        <x:v>COLUMBUS</x:v>
      </x:c>
      <x:c r="J86" s="35" t="str">
        <x:v>FRANKLIN</x:v>
      </x:c>
      <x:c r="K86" s="35" t="str">
        <x:v>OHIO</x:v>
      </x:c>
      <x:c r="L86" s="35" t="str">
        <x:v>Investment/holding/management name</x:v>
      </x:c>
      <x:c r="M86" s="35" t="str"/>
      <x:c r="N86" s="35" t="str">
        <x:f>IF(M86&lt;&gt;"","1 - Anchor",IF(L86="Explicit network-name lead","1 - Network lead",IF(G86&gt;=6,"2 - Date batch","3 - Baseline")))</x:f>
        <x:v>2 - Date batch</x:v>
      </x:c>
      <x:c r="O86" s="35" t="str">
        <x:v>Not Started</x:v>
      </x:c>
      <x:c r="P86" s="36"/>
      <x:c r="Q86" s="35" t="str"/>
      <x:c r="R86" s="35" t="str">
        <x:v>Unknown</x:v>
      </x:c>
      <x:c r="S86" s="35" t="str"/>
      <x:c r="T86" s="36"/>
      <x:c r="U86" s="35" t="str"/>
      <x:c r="V86" s="35" t="str"/>
      <x:c r="W86" s="35" t="str"/>
      <x:c r="X86" s="35" t="str"/>
      <x:c r="Y86" s="35" t="str">
        <x:v>Not Started</x:v>
      </x:c>
      <x:c r="Z86" s="35" t="str"/>
      <x:c r="AA86" s="35" t="str">
        <x:v>No Exact Hit</x:v>
      </x:c>
      <x:c r="AB86" s="35" t="str">
        <x:v>Unassessed</x:v>
      </x:c>
      <x:c r="AC86" s="35" t="str"/>
      <x:c r="AD86" s="37" t="str"/>
    </x:row>
    <x:row r="87">
      <x:c r="A87" s="50" t="str">
        <x:v>731360</x:v>
      </x:c>
      <x:c r="B87" s="35" t="str">
        <x:v>JETNER CORPORATION</x:v>
      </x:c>
      <x:c r="C87" s="35" t="str">
        <x:v>CORPORATION FOR PROFIT</x:v>
      </x:c>
      <x:c r="D87" s="36" t="n">
        <x:v>32379</x:v>
      </x:c>
      <x:c r="E87" s="35" t="n">
        <x:f>YEAR(D87)</x:f>
        <x:v>1988</x:v>
      </x:c>
      <x:c r="F87" s="35" t="str">
        <x:f>TEXT(D87,"yyyy-mm")</x:f>
        <x:v>1988-08</x:v>
      </x:c>
      <x:c r="G87" s="35" t="n">
        <x:f>COUNTIF($D$2:$D$102,D87)</x:f>
        <x:v>6</x:v>
      </x:c>
      <x:c r="H87" s="35" t="str">
        <x:v>Dead</x:v>
      </x:c>
      <x:c r="I87" s="35" t="str">
        <x:v>COLUMBUS</x:v>
      </x:c>
      <x:c r="J87" s="35" t="str">
        <x:v>FRANKLIN</x:v>
      </x:c>
      <x:c r="K87" s="35" t="str">
        <x:v>OHIO</x:v>
      </x:c>
      <x:c r="L87" s="35" t="str">
        <x:v>Other or operating-company name</x:v>
      </x:c>
      <x:c r="M87" s="35" t="str"/>
      <x:c r="N87" s="35" t="str">
        <x:f>IF(M87&lt;&gt;"","1 - Anchor",IF(L87="Explicit network-name lead","1 - Network lead",IF(G87&gt;=6,"2 - Date batch","3 - Baseline")))</x:f>
        <x:v>2 - Date batch</x:v>
      </x:c>
      <x:c r="O87" s="35" t="str">
        <x:v>Not Started</x:v>
      </x:c>
      <x:c r="P87" s="36"/>
      <x:c r="Q87" s="35" t="str"/>
      <x:c r="R87" s="35" t="str">
        <x:v>Unknown</x:v>
      </x:c>
      <x:c r="S87" s="35" t="str"/>
      <x:c r="T87" s="36"/>
      <x:c r="U87" s="35" t="str"/>
      <x:c r="V87" s="35" t="str"/>
      <x:c r="W87" s="35" t="str"/>
      <x:c r="X87" s="35" t="str"/>
      <x:c r="Y87" s="35" t="str">
        <x:v>Not Started</x:v>
      </x:c>
      <x:c r="Z87" s="35" t="str"/>
      <x:c r="AA87" s="35" t="str">
        <x:v>No Exact Hit</x:v>
      </x:c>
      <x:c r="AB87" s="35" t="str">
        <x:v>Unassessed</x:v>
      </x:c>
      <x:c r="AC87" s="35" t="str"/>
      <x:c r="AD87" s="37" t="str"/>
    </x:row>
    <x:row r="88">
      <x:c r="A88" s="50" t="str">
        <x:v>731361</x:v>
      </x:c>
      <x:c r="B88" s="35" t="str">
        <x:v>MENTIN PRODUCTS, INC.</x:v>
      </x:c>
      <x:c r="C88" s="35" t="str">
        <x:v>CORPORATION FOR PROFIT</x:v>
      </x:c>
      <x:c r="D88" s="36" t="n">
        <x:v>32379</x:v>
      </x:c>
      <x:c r="E88" s="35" t="n">
        <x:f>YEAR(D88)</x:f>
        <x:v>1988</x:v>
      </x:c>
      <x:c r="F88" s="35" t="str">
        <x:f>TEXT(D88,"yyyy-mm")</x:f>
        <x:v>1988-08</x:v>
      </x:c>
      <x:c r="G88" s="35" t="n">
        <x:f>COUNTIF($D$2:$D$102,D88)</x:f>
        <x:v>6</x:v>
      </x:c>
      <x:c r="H88" s="35" t="str">
        <x:v>Dead</x:v>
      </x:c>
      <x:c r="I88" s="35" t="str">
        <x:v>COLUMBUS</x:v>
      </x:c>
      <x:c r="J88" s="35" t="str">
        <x:v>FRANKLIN</x:v>
      </x:c>
      <x:c r="K88" s="35" t="str">
        <x:v>OHIO</x:v>
      </x:c>
      <x:c r="L88" s="35" t="str">
        <x:v>Other or operating-company name</x:v>
      </x:c>
      <x:c r="M88" s="35" t="str"/>
      <x:c r="N88" s="35" t="str">
        <x:f>IF(M88&lt;&gt;"","1 - Anchor",IF(L88="Explicit network-name lead","1 - Network lead",IF(G88&gt;=6,"2 - Date batch","3 - Baseline")))</x:f>
        <x:v>2 - Date batch</x:v>
      </x:c>
      <x:c r="O88" s="35" t="str">
        <x:v>Not Started</x:v>
      </x:c>
      <x:c r="P88" s="36"/>
      <x:c r="Q88" s="35" t="str"/>
      <x:c r="R88" s="35" t="str">
        <x:v>Unknown</x:v>
      </x:c>
      <x:c r="S88" s="35" t="str"/>
      <x:c r="T88" s="36"/>
      <x:c r="U88" s="35" t="str"/>
      <x:c r="V88" s="35" t="str"/>
      <x:c r="W88" s="35" t="str"/>
      <x:c r="X88" s="35" t="str"/>
      <x:c r="Y88" s="35" t="str">
        <x:v>Not Started</x:v>
      </x:c>
      <x:c r="Z88" s="35" t="str"/>
      <x:c r="AA88" s="35" t="str">
        <x:v>No Exact Hit</x:v>
      </x:c>
      <x:c r="AB88" s="35" t="str">
        <x:v>Unassessed</x:v>
      </x:c>
      <x:c r="AC88" s="35" t="str"/>
      <x:c r="AD88" s="37" t="str"/>
    </x:row>
    <x:row r="89">
      <x:c r="A89" s="50" t="str">
        <x:v>733246</x:v>
      </x:c>
      <x:c r="B89" s="35" t="str">
        <x:v>CRISTAH CORPORATION</x:v>
      </x:c>
      <x:c r="C89" s="35" t="str">
        <x:v>CORPORATION FOR PROFIT</x:v>
      </x:c>
      <x:c r="D89" s="36" t="n">
        <x:v>32409</x:v>
      </x:c>
      <x:c r="E89" s="35" t="n">
        <x:f>YEAR(D89)</x:f>
        <x:v>1988</x:v>
      </x:c>
      <x:c r="F89" s="35" t="str">
        <x:f>TEXT(D89,"yyyy-mm")</x:f>
        <x:v>1988-09</x:v>
      </x:c>
      <x:c r="G89" s="35" t="n">
        <x:f>COUNTIF($D$2:$D$102,D89)</x:f>
        <x:v>2</x:v>
      </x:c>
      <x:c r="H89" s="35" t="str">
        <x:v>Dead</x:v>
      </x:c>
      <x:c r="I89" s="35" t="str">
        <x:v>COLUMBUS</x:v>
      </x:c>
      <x:c r="J89" s="35" t="str">
        <x:v>FRANKLIN</x:v>
      </x:c>
      <x:c r="K89" s="35" t="str">
        <x:v>OHIO</x:v>
      </x:c>
      <x:c r="L89" s="35" t="str">
        <x:v>Other or operating-company name</x:v>
      </x:c>
      <x:c r="M89" s="35" t="str"/>
      <x:c r="N89" s="35" t="str">
        <x:f>IF(M89&lt;&gt;"","1 - Anchor",IF(L89="Explicit network-name lead","1 - Network lead",IF(G89&gt;=6,"2 - Date batch","3 - Baseline")))</x:f>
        <x:v>3 - Baseline</x:v>
      </x:c>
      <x:c r="O89" s="35" t="str">
        <x:v>Not Started</x:v>
      </x:c>
      <x:c r="P89" s="36"/>
      <x:c r="Q89" s="35" t="str"/>
      <x:c r="R89" s="35" t="str">
        <x:v>Unknown</x:v>
      </x:c>
      <x:c r="S89" s="35" t="str"/>
      <x:c r="T89" s="36"/>
      <x:c r="U89" s="35" t="str"/>
      <x:c r="V89" s="35" t="str"/>
      <x:c r="W89" s="35" t="str"/>
      <x:c r="X89" s="35" t="str"/>
      <x:c r="Y89" s="35" t="str">
        <x:v>Not Started</x:v>
      </x:c>
      <x:c r="Z89" s="35" t="str"/>
      <x:c r="AA89" s="35" t="str">
        <x:v>No Exact Hit</x:v>
      </x:c>
      <x:c r="AB89" s="35" t="str">
        <x:v>Unassessed</x:v>
      </x:c>
      <x:c r="AC89" s="35" t="str"/>
      <x:c r="AD89" s="37" t="str"/>
    </x:row>
    <x:row r="90">
      <x:c r="A90" s="50" t="str">
        <x:v>733247</x:v>
      </x:c>
      <x:c r="B90" s="35" t="str">
        <x:v>RETTLIN INVESTMENT COMPANY</x:v>
      </x:c>
      <x:c r="C90" s="35" t="str">
        <x:v>CORPORATION FOR PROFIT</x:v>
      </x:c>
      <x:c r="D90" s="36" t="n">
        <x:v>32409</x:v>
      </x:c>
      <x:c r="E90" s="35" t="n">
        <x:f>YEAR(D90)</x:f>
        <x:v>1988</x:v>
      </x:c>
      <x:c r="F90" s="35" t="str">
        <x:f>TEXT(D90,"yyyy-mm")</x:f>
        <x:v>1988-09</x:v>
      </x:c>
      <x:c r="G90" s="35" t="n">
        <x:f>COUNTIF($D$2:$D$102,D90)</x:f>
        <x:v>2</x:v>
      </x:c>
      <x:c r="H90" s="35" t="str">
        <x:v>Dead</x:v>
      </x:c>
      <x:c r="I90" s="35" t="str">
        <x:v>COLUMBUS</x:v>
      </x:c>
      <x:c r="J90" s="35" t="str">
        <x:v>FRANKLIN</x:v>
      </x:c>
      <x:c r="K90" s="35" t="str">
        <x:v>OHIO</x:v>
      </x:c>
      <x:c r="L90" s="35" t="str">
        <x:v>Investment/holding/management name</x:v>
      </x:c>
      <x:c r="M90" s="35" t="str"/>
      <x:c r="N90" s="35" t="str">
        <x:f>IF(M90&lt;&gt;"","1 - Anchor",IF(L90="Explicit network-name lead","1 - Network lead",IF(G90&gt;=6,"2 - Date batch","3 - Baseline")))</x:f>
        <x:v>3 - Baseline</x:v>
      </x:c>
      <x:c r="O90" s="35" t="str">
        <x:v>Not Started</x:v>
      </x:c>
      <x:c r="P90" s="36"/>
      <x:c r="Q90" s="35" t="str"/>
      <x:c r="R90" s="35" t="str">
        <x:v>Unknown</x:v>
      </x:c>
      <x:c r="S90" s="35" t="str"/>
      <x:c r="T90" s="36"/>
      <x:c r="U90" s="35" t="str"/>
      <x:c r="V90" s="35" t="str"/>
      <x:c r="W90" s="35" t="str"/>
      <x:c r="X90" s="35" t="str"/>
      <x:c r="Y90" s="35" t="str">
        <x:v>Not Started</x:v>
      </x:c>
      <x:c r="Z90" s="35" t="str"/>
      <x:c r="AA90" s="35" t="str">
        <x:v>No Exact Hit</x:v>
      </x:c>
      <x:c r="AB90" s="35" t="str">
        <x:v>Unassessed</x:v>
      </x:c>
      <x:c r="AC90" s="35" t="str"/>
      <x:c r="AD90" s="37" t="str"/>
    </x:row>
    <x:row r="91">
      <x:c r="A91" s="50" t="str">
        <x:v>701784</x:v>
      </x:c>
      <x:c r="B91" s="35" t="str">
        <x:v>PETEL OF COLUMBUS CO. #1, INC.</x:v>
      </x:c>
      <x:c r="C91" s="35" t="str">
        <x:v>CORPORATION FOR PROFIT</x:v>
      </x:c>
      <x:c r="D91" s="36" t="n">
        <x:v>32505</x:v>
      </x:c>
      <x:c r="E91" s="35" t="n">
        <x:f>YEAR(D91)</x:f>
        <x:v>1988</x:v>
      </x:c>
      <x:c r="F91" s="35" t="str">
        <x:f>TEXT(D91,"yyyy-mm")</x:f>
        <x:v>1988-12</x:v>
      </x:c>
      <x:c r="G91" s="35" t="n">
        <x:f>COUNTIF($D$2:$D$102,D91)</x:f>
        <x:v>1</x:v>
      </x:c>
      <x:c r="H91" s="35" t="str">
        <x:v>Dead</x:v>
      </x:c>
      <x:c r="I91" s="35" t="str">
        <x:v>COLUMBUS</x:v>
      </x:c>
      <x:c r="J91" s="35" t="str">
        <x:v>FRANKLIN</x:v>
      </x:c>
      <x:c r="K91" s="35" t="str">
        <x:v>OHIO</x:v>
      </x:c>
      <x:c r="L91" s="35" t="str">
        <x:v>Other or operating-company name</x:v>
      </x:c>
      <x:c r="M91" s="35" t="str"/>
      <x:c r="N91" s="35" t="str">
        <x:f>IF(M91&lt;&gt;"","1 - Anchor",IF(L91="Explicit network-name lead","1 - Network lead",IF(G91&gt;=6,"2 - Date batch","3 - Baseline")))</x:f>
        <x:v>3 - Baseline</x:v>
      </x:c>
      <x:c r="O91" s="35" t="str">
        <x:v>Not Started</x:v>
      </x:c>
      <x:c r="P91" s="36"/>
      <x:c r="Q91" s="35" t="str"/>
      <x:c r="R91" s="35" t="str">
        <x:v>Unknown</x:v>
      </x:c>
      <x:c r="S91" s="35" t="str"/>
      <x:c r="T91" s="36"/>
      <x:c r="U91" s="35" t="str"/>
      <x:c r="V91" s="35" t="str"/>
      <x:c r="W91" s="35" t="str"/>
      <x:c r="X91" s="35" t="str"/>
      <x:c r="Y91" s="35" t="str">
        <x:v>Not Started</x:v>
      </x:c>
      <x:c r="Z91" s="35" t="str"/>
      <x:c r="AA91" s="35" t="str">
        <x:v>No Exact Hit</x:v>
      </x:c>
      <x:c r="AB91" s="35" t="str">
        <x:v>Unassessed</x:v>
      </x:c>
      <x:c r="AC91" s="35" t="str"/>
      <x:c r="AD91" s="37" t="str"/>
    </x:row>
    <x:row r="92">
      <x:c r="A92" s="50" t="str">
        <x:v>364648</x:v>
      </x:c>
      <x:c r="B92" s="35" t="str">
        <x:v>URBAN IMPROVEMENT OF COLUMBUS, INC.</x:v>
      </x:c>
      <x:c r="C92" s="35" t="str">
        <x:v>CORPORATION FOR NON-PROFIT</x:v>
      </x:c>
      <x:c r="D92" s="36" t="n">
        <x:v>32563</x:v>
      </x:c>
      <x:c r="E92" s="35" t="n">
        <x:f>YEAR(D92)</x:f>
        <x:v>1989</x:v>
      </x:c>
      <x:c r="F92" s="35" t="str">
        <x:f>TEXT(D92,"yyyy-mm")</x:f>
        <x:v>1989-02</x:v>
      </x:c>
      <x:c r="G92" s="35" t="n">
        <x:f>COUNTIF($D$2:$D$102,D92)</x:f>
        <x:v>1</x:v>
      </x:c>
      <x:c r="H92" s="35" t="str">
        <x:v>Permanently Cancelled</x:v>
      </x:c>
      <x:c r="I92" s="35" t="str">
        <x:v>COLUMBUS</x:v>
      </x:c>
      <x:c r="J92" s="35" t="str">
        <x:v>FRANKLIN</x:v>
      </x:c>
      <x:c r="K92" s="35" t="str">
        <x:v>OHIO</x:v>
      </x:c>
      <x:c r="L92" s="35" t="str">
        <x:v>Other or operating-company name</x:v>
      </x:c>
      <x:c r="M92" s="35" t="str"/>
      <x:c r="N92" s="35" t="str">
        <x:f>IF(M92&lt;&gt;"","1 - Anchor",IF(L92="Explicit network-name lead","1 - Network lead",IF(G92&gt;=6,"2 - Date batch","3 - Baseline")))</x:f>
        <x:v>3 - Baseline</x:v>
      </x:c>
      <x:c r="O92" s="35" t="str">
        <x:v>Not Started</x:v>
      </x:c>
      <x:c r="P92" s="36"/>
      <x:c r="Q92" s="35" t="str"/>
      <x:c r="R92" s="35" t="str">
        <x:v>Unknown</x:v>
      </x:c>
      <x:c r="S92" s="35" t="str"/>
      <x:c r="T92" s="36"/>
      <x:c r="U92" s="35" t="str"/>
      <x:c r="V92" s="35" t="str"/>
      <x:c r="W92" s="35" t="str"/>
      <x:c r="X92" s="35" t="str"/>
      <x:c r="Y92" s="35" t="str">
        <x:v>Not Started</x:v>
      </x:c>
      <x:c r="Z92" s="35" t="str"/>
      <x:c r="AA92" s="35" t="str">
        <x:v>No Exact Hit</x:v>
      </x:c>
      <x:c r="AB92" s="35" t="str">
        <x:v>Unassessed</x:v>
      </x:c>
      <x:c r="AC92" s="35" t="str"/>
      <x:c r="AD92" s="37" t="str"/>
    </x:row>
    <x:row r="93">
      <x:c r="A93" s="50" t="str">
        <x:v>749169</x:v>
      </x:c>
      <x:c r="B93" s="35" t="str">
        <x:v>NEW ALBANY CARDINAL ASSOCIATES, INC.</x:v>
      </x:c>
      <x:c r="C93" s="35" t="str">
        <x:v>CORPORATION FOR PROFIT</x:v>
      </x:c>
      <x:c r="D93" s="36" t="n">
        <x:v>32643</x:v>
      </x:c>
      <x:c r="E93" s="35" t="n">
        <x:f>YEAR(D93)</x:f>
        <x:v>1989</x:v>
      </x:c>
      <x:c r="F93" s="35" t="str">
        <x:f>TEXT(D93,"yyyy-mm")</x:f>
        <x:v>1989-05</x:v>
      </x:c>
      <x:c r="G93" s="35" t="n">
        <x:f>COUNTIF($D$2:$D$102,D93)</x:f>
        <x:v>1</x:v>
      </x:c>
      <x:c r="H93" s="35" t="str">
        <x:v>Dead</x:v>
      </x:c>
      <x:c r="I93" s="35" t="str">
        <x:v>COLUMBUS</x:v>
      </x:c>
      <x:c r="J93" s="35" t="str">
        <x:v>FRANKLIN</x:v>
      </x:c>
      <x:c r="K93" s="35" t="str">
        <x:v>OHIO</x:v>
      </x:c>
      <x:c r="L93" s="35" t="str">
        <x:v>Explicit network-name lead</x:v>
      </x:c>
      <x:c r="M93" s="35" t="str"/>
      <x:c r="N93" s="35" t="str">
        <x:f>IF(M93&lt;&gt;"","1 - Anchor",IF(L93="Explicit network-name lead","1 - Network lead",IF(G93&gt;=6,"2 - Date batch","3 - Baseline")))</x:f>
        <x:v>1 - Network lead</x:v>
      </x:c>
      <x:c r="O93" s="35" t="str">
        <x:v>Not Started</x:v>
      </x:c>
      <x:c r="P93" s="36"/>
      <x:c r="Q93" s="35" t="str"/>
      <x:c r="R93" s="35" t="str">
        <x:v>Unknown</x:v>
      </x:c>
      <x:c r="S93" s="35" t="str"/>
      <x:c r="T93" s="36"/>
      <x:c r="U93" s="35" t="str"/>
      <x:c r="V93" s="35" t="str"/>
      <x:c r="W93" s="35" t="str"/>
      <x:c r="X93" s="35" t="str"/>
      <x:c r="Y93" s="35" t="str">
        <x:v>Not Started</x:v>
      </x:c>
      <x:c r="Z93" s="35" t="str"/>
      <x:c r="AA93" s="35" t="str">
        <x:v>No Exact Hit</x:v>
      </x:c>
      <x:c r="AB93" s="35" t="str">
        <x:v>Unassessed</x:v>
      </x:c>
      <x:c r="AC93" s="35" t="str"/>
      <x:c r="AD93" s="37" t="str"/>
    </x:row>
    <x:row r="94">
      <x:c r="A94" s="50" t="str">
        <x:v>713548</x:v>
      </x:c>
      <x:c r="B94" s="35" t="str">
        <x:v>ARCHITONICS, INC.</x:v>
      </x:c>
      <x:c r="C94" s="35" t="str">
        <x:v>CORPORATION FOR PROFIT</x:v>
      </x:c>
      <x:c r="D94" s="36" t="n">
        <x:v>32871</x:v>
      </x:c>
      <x:c r="E94" s="35" t="n">
        <x:f>YEAR(D94)</x:f>
        <x:v>1989</x:v>
      </x:c>
      <x:c r="F94" s="35" t="str">
        <x:f>TEXT(D94,"yyyy-mm")</x:f>
        <x:v>1989-12</x:v>
      </x:c>
      <x:c r="G94" s="35" t="n">
        <x:f>COUNTIF($D$2:$D$102,D94)</x:f>
        <x:v>1</x:v>
      </x:c>
      <x:c r="H94" s="35" t="str">
        <x:v>Dead</x:v>
      </x:c>
      <x:c r="I94" s="35" t="str">
        <x:v>COLUMBUS</x:v>
      </x:c>
      <x:c r="J94" s="35" t="str">
        <x:v>FRANKLIN</x:v>
      </x:c>
      <x:c r="K94" s="35" t="str">
        <x:v>OHIO</x:v>
      </x:c>
      <x:c r="L94" s="35" t="str">
        <x:v>Other or operating-company name</x:v>
      </x:c>
      <x:c r="M94" s="35" t="str"/>
      <x:c r="N94" s="35" t="str">
        <x:f>IF(M94&lt;&gt;"","1 - Anchor",IF(L94="Explicit network-name lead","1 - Network lead",IF(G94&gt;=6,"2 - Date batch","3 - Baseline")))</x:f>
        <x:v>3 - Baseline</x:v>
      </x:c>
      <x:c r="O94" s="35" t="str">
        <x:v>Not Started</x:v>
      </x:c>
      <x:c r="P94" s="36"/>
      <x:c r="Q94" s="35" t="str"/>
      <x:c r="R94" s="35" t="str">
        <x:v>Unknown</x:v>
      </x:c>
      <x:c r="S94" s="35" t="str"/>
      <x:c r="T94" s="36"/>
      <x:c r="U94" s="35" t="str"/>
      <x:c r="V94" s="35" t="str"/>
      <x:c r="W94" s="35" t="str"/>
      <x:c r="X94" s="35" t="str"/>
      <x:c r="Y94" s="35" t="str">
        <x:v>Not Started</x:v>
      </x:c>
      <x:c r="Z94" s="35" t="str"/>
      <x:c r="AA94" s="35" t="str">
        <x:v>No Exact Hit</x:v>
      </x:c>
      <x:c r="AB94" s="35" t="str">
        <x:v>Unassessed</x:v>
      </x:c>
      <x:c r="AC94" s="35" t="str"/>
      <x:c r="AD94" s="37" t="str"/>
    </x:row>
    <x:row r="95">
      <x:c r="A95" s="50" t="str">
        <x:v>777500</x:v>
      </x:c>
      <x:c r="B95" s="35" t="str">
        <x:v>WEST FIRST PLAZA, INC.</x:v>
      </x:c>
      <x:c r="C95" s="35" t="str">
        <x:v>CORPORATION FOR PROFIT</x:v>
      </x:c>
      <x:c r="D95" s="36" t="n">
        <x:v>33074</x:v>
      </x:c>
      <x:c r="E95" s="35" t="n">
        <x:f>YEAR(D95)</x:f>
        <x:v>1990</x:v>
      </x:c>
      <x:c r="F95" s="35" t="str">
        <x:f>TEXT(D95,"yyyy-mm")</x:f>
        <x:v>1990-07</x:v>
      </x:c>
      <x:c r="G95" s="35" t="n">
        <x:f>COUNTIF($D$2:$D$102,D95)</x:f>
        <x:v>1</x:v>
      </x:c>
      <x:c r="H95" s="35" t="str">
        <x:v>Dead</x:v>
      </x:c>
      <x:c r="I95" s="35" t="str">
        <x:v>COLUMBUS</x:v>
      </x:c>
      <x:c r="J95" s="35" t="str">
        <x:v>FRANKLIN</x:v>
      </x:c>
      <x:c r="K95" s="35" t="str">
        <x:v>OHIO</x:v>
      </x:c>
      <x:c r="L95" s="35" t="str">
        <x:v>Property-suggestive name</x:v>
      </x:c>
      <x:c r="M95" s="35" t="str"/>
      <x:c r="N95" s="35" t="str">
        <x:f>IF(M95&lt;&gt;"","1 - Anchor",IF(L95="Explicit network-name lead","1 - Network lead",IF(G95&gt;=6,"2 - Date batch","3 - Baseline")))</x:f>
        <x:v>3 - Baseline</x:v>
      </x:c>
      <x:c r="O95" s="35" t="str">
        <x:v>Not Started</x:v>
      </x:c>
      <x:c r="P95" s="36"/>
      <x:c r="Q95" s="35" t="str"/>
      <x:c r="R95" s="35" t="str">
        <x:v>Unknown</x:v>
      </x:c>
      <x:c r="S95" s="35" t="str"/>
      <x:c r="T95" s="36"/>
      <x:c r="U95" s="35" t="str"/>
      <x:c r="V95" s="35" t="str"/>
      <x:c r="W95" s="35" t="str"/>
      <x:c r="X95" s="35" t="str"/>
      <x:c r="Y95" s="35" t="str">
        <x:v>Not Started</x:v>
      </x:c>
      <x:c r="Z95" s="35" t="str"/>
      <x:c r="AA95" s="35" t="str">
        <x:v>No Exact Hit</x:v>
      </x:c>
      <x:c r="AB95" s="35" t="str">
        <x:v>Unassessed</x:v>
      </x:c>
      <x:c r="AC95" s="35" t="str"/>
      <x:c r="AD95" s="37" t="str"/>
    </x:row>
    <x:row r="96">
      <x:c r="A96" s="50" t="str">
        <x:v>785297</x:v>
      </x:c>
      <x:c r="B96" s="35" t="str">
        <x:v>FIRST COLUMBUS LAND COMPANY</x:v>
      </x:c>
      <x:c r="C96" s="35" t="str">
        <x:v>CORPORATION FOR PROFIT</x:v>
      </x:c>
      <x:c r="D96" s="36" t="n">
        <x:v>33205</x:v>
      </x:c>
      <x:c r="E96" s="35" t="n">
        <x:f>YEAR(D96)</x:f>
        <x:v>1990</x:v>
      </x:c>
      <x:c r="F96" s="35" t="str">
        <x:f>TEXT(D96,"yyyy-mm")</x:f>
        <x:v>1990-11</x:v>
      </x:c>
      <x:c r="G96" s="35" t="n">
        <x:f>COUNTIF($D$2:$D$102,D96)</x:f>
        <x:v>1</x:v>
      </x:c>
      <x:c r="H96" s="35" t="str">
        <x:v>Cancelled</x:v>
      </x:c>
      <x:c r="I96" s="35" t="str">
        <x:v>COLUMBUS</x:v>
      </x:c>
      <x:c r="J96" s="35" t="str">
        <x:v>FRANKLIN</x:v>
      </x:c>
      <x:c r="K96" s="35" t="str">
        <x:v>OHIO</x:v>
      </x:c>
      <x:c r="L96" s="35" t="str">
        <x:v>Property-suggestive name</x:v>
      </x:c>
      <x:c r="M96" s="35" t="str"/>
      <x:c r="N96" s="35" t="str">
        <x:f>IF(M96&lt;&gt;"","1 - Anchor",IF(L96="Explicit network-name lead","1 - Network lead",IF(G96&gt;=6,"2 - Date batch","3 - Baseline")))</x:f>
        <x:v>3 - Baseline</x:v>
      </x:c>
      <x:c r="O96" s="35" t="str">
        <x:v>Not Started</x:v>
      </x:c>
      <x:c r="P96" s="36"/>
      <x:c r="Q96" s="35" t="str"/>
      <x:c r="R96" s="35" t="str">
        <x:v>Unknown</x:v>
      </x:c>
      <x:c r="S96" s="35" t="str"/>
      <x:c r="T96" s="36"/>
      <x:c r="U96" s="35" t="str"/>
      <x:c r="V96" s="35" t="str"/>
      <x:c r="W96" s="35" t="str"/>
      <x:c r="X96" s="35" t="str"/>
      <x:c r="Y96" s="35" t="str">
        <x:v>Not Started</x:v>
      </x:c>
      <x:c r="Z96" s="35" t="str"/>
      <x:c r="AA96" s="35" t="str">
        <x:v>No Exact Hit</x:v>
      </x:c>
      <x:c r="AB96" s="35" t="str">
        <x:v>Unassessed</x:v>
      </x:c>
      <x:c r="AC96" s="35" t="str"/>
      <x:c r="AD96" s="37" t="str"/>
    </x:row>
    <x:row r="97">
      <x:c r="A97" s="50" t="str">
        <x:v>801367</x:v>
      </x:c>
      <x:c r="B97" s="35" t="str">
        <x:v>COMMUNITY PROJECTS, INC.</x:v>
      </x:c>
      <x:c r="C97" s="35" t="str">
        <x:v>CORPORATION FOR PROFIT</x:v>
      </x:c>
      <x:c r="D97" s="36" t="n">
        <x:v>33463</x:v>
      </x:c>
      <x:c r="E97" s="35" t="n">
        <x:f>YEAR(D97)</x:f>
        <x:v>1991</x:v>
      </x:c>
      <x:c r="F97" s="35" t="str">
        <x:f>TEXT(D97,"yyyy-mm")</x:f>
        <x:v>1991-08</x:v>
      </x:c>
      <x:c r="G97" s="35" t="n">
        <x:f>COUNTIF($D$2:$D$102,D97)</x:f>
        <x:v>1</x:v>
      </x:c>
      <x:c r="H97" s="35" t="str">
        <x:v>Dead</x:v>
      </x:c>
      <x:c r="I97" s="35" t="str">
        <x:v>COLUMBUS</x:v>
      </x:c>
      <x:c r="J97" s="35" t="str">
        <x:v>FRANKLIN</x:v>
      </x:c>
      <x:c r="K97" s="35" t="str">
        <x:v>OHIO</x:v>
      </x:c>
      <x:c r="L97" s="35" t="str">
        <x:v>Other or operating-company name</x:v>
      </x:c>
      <x:c r="M97" s="35" t="str">
        <x:v>Same-name Community Projects appears in the 1998 New Albany structure with Leslie Wexner as president; entity-number tie-out pending.</x:v>
      </x:c>
      <x:c r="N97" s="35" t="str">
        <x:f>IF(M97&lt;&gt;"","1 - Anchor",IF(L97="Explicit network-name lead","1 - Network lead",IF(G97&gt;=6,"2 - Date batch","3 - Baseline")))</x:f>
        <x:v>1 - Anchor</x:v>
      </x:c>
      <x:c r="O97" s="35" t="str">
        <x:v>Not Started</x:v>
      </x:c>
      <x:c r="P97" s="36"/>
      <x:c r="Q97" s="35" t="str"/>
      <x:c r="R97" s="35" t="str">
        <x:v>Unknown</x:v>
      </x:c>
      <x:c r="S97" s="35" t="str"/>
      <x:c r="T97" s="36"/>
      <x:c r="U97" s="35" t="str"/>
      <x:c r="V97" s="35" t="str"/>
      <x:c r="W97" s="35" t="str"/>
      <x:c r="X97" s="35" t="str"/>
      <x:c r="Y97" s="35" t="str">
        <x:v>Hit</x:v>
      </x:c>
      <x:c r="Z97" s="35" t="str">
        <x:v>Franklin instrument 199809170236365 is a partnership release, not a deed or proof of parcel ownership.</x:v>
      </x:c>
      <x:c r="AA97" s="35" t="str">
        <x:v>Hit</x:v>
      </x:c>
      <x:c r="AB97" s="35" t="str">
        <x:v>Possible</x:v>
      </x:c>
      <x:c r="AC97" s="35" t="str">
        <x:v>OH-SOS-1034132-199826701876; FRANKLIN-RECORDER:199809170236365; FINDING:14541</x:v>
      </x:c>
      <x:c r="AD97" s="37" t="str">
        <x:v>Fresh transcription of the New Albany filing must confirm that the referenced corporation is Ohio 801367.</x:v>
      </x:c>
    </x:row>
    <x:row r="98">
      <x:c r="A98" s="50" t="str">
        <x:v>803531</x:v>
      </x:c>
      <x:c r="B98" s="35" t="str">
        <x:v>C-WREN INVESTMENT CORP.</x:v>
      </x:c>
      <x:c r="C98" s="35" t="str">
        <x:v>CORPORATION FOR PROFIT</x:v>
      </x:c>
      <x:c r="D98" s="36" t="n">
        <x:v>33507</x:v>
      </x:c>
      <x:c r="E98" s="35" t="n">
        <x:f>YEAR(D98)</x:f>
        <x:v>1991</x:v>
      </x:c>
      <x:c r="F98" s="35" t="str">
        <x:f>TEXT(D98,"yyyy-mm")</x:f>
        <x:v>1991-09</x:v>
      </x:c>
      <x:c r="G98" s="35" t="n">
        <x:f>COUNTIF($D$2:$D$102,D98)</x:f>
        <x:v>1</x:v>
      </x:c>
      <x:c r="H98" s="35" t="str">
        <x:v>Dead</x:v>
      </x:c>
      <x:c r="I98" s="35" t="str">
        <x:v>COLUMBUS</x:v>
      </x:c>
      <x:c r="J98" s="35" t="str">
        <x:v>FRANKLIN</x:v>
      </x:c>
      <x:c r="K98" s="35" t="str">
        <x:v>OHIO</x:v>
      </x:c>
      <x:c r="L98" s="35" t="str">
        <x:v>Investment/holding/management name</x:v>
      </x:c>
      <x:c r="M98" s="35" t="str"/>
      <x:c r="N98" s="35" t="str">
        <x:f>IF(M98&lt;&gt;"","1 - Anchor",IF(L98="Explicit network-name lead","1 - Network lead",IF(G98&gt;=6,"2 - Date batch","3 - Baseline")))</x:f>
        <x:v>3 - Baseline</x:v>
      </x:c>
      <x:c r="O98" s="35" t="str">
        <x:v>Not Started</x:v>
      </x:c>
      <x:c r="P98" s="36"/>
      <x:c r="Q98" s="35" t="str"/>
      <x:c r="R98" s="35" t="str">
        <x:v>Unknown</x:v>
      </x:c>
      <x:c r="S98" s="35" t="str"/>
      <x:c r="T98" s="36"/>
      <x:c r="U98" s="35" t="str"/>
      <x:c r="V98" s="35" t="str"/>
      <x:c r="W98" s="35" t="str"/>
      <x:c r="X98" s="35" t="str"/>
      <x:c r="Y98" s="35" t="str">
        <x:v>Not Started</x:v>
      </x:c>
      <x:c r="Z98" s="35" t="str"/>
      <x:c r="AA98" s="35" t="str">
        <x:v>No Exact Hit</x:v>
      </x:c>
      <x:c r="AB98" s="35" t="str">
        <x:v>Unassessed</x:v>
      </x:c>
      <x:c r="AC98" s="35" t="str"/>
      <x:c r="AD98" s="37" t="str"/>
    </x:row>
    <x:row r="99">
      <x:c r="A99" s="50" t="str">
        <x:v>626053</x:v>
      </x:c>
      <x:c r="B99" s="35" t="str">
        <x:v>PARK PROPERTIES, INC.</x:v>
      </x:c>
      <x:c r="C99" s="35" t="str">
        <x:v>CORPORATION FOR PROFIT</x:v>
      </x:c>
      <x:c r="D99" s="36" t="n">
        <x:v>33960</x:v>
      </x:c>
      <x:c r="E99" s="35" t="n">
        <x:f>YEAR(D99)</x:f>
        <x:v>1992</x:v>
      </x:c>
      <x:c r="F99" s="35" t="str">
        <x:f>TEXT(D99,"yyyy-mm")</x:f>
        <x:v>1992-12</x:v>
      </x:c>
      <x:c r="G99" s="35" t="n">
        <x:f>COUNTIF($D$2:$D$102,D99)</x:f>
        <x:v>1</x:v>
      </x:c>
      <x:c r="H99" s="35" t="str">
        <x:v>Dead</x:v>
      </x:c>
      <x:c r="I99" s="35" t="str">
        <x:v>COLUMBUS</x:v>
      </x:c>
      <x:c r="J99" s="35" t="str">
        <x:v>FRANKLIN</x:v>
      </x:c>
      <x:c r="K99" s="35" t="str">
        <x:v>OHIO</x:v>
      </x:c>
      <x:c r="L99" s="35" t="str">
        <x:v>Property-suggestive name</x:v>
      </x:c>
      <x:c r="M99" s="35" t="str"/>
      <x:c r="N99" s="35" t="str">
        <x:f>IF(M99&lt;&gt;"","1 - Anchor",IF(L99="Explicit network-name lead","1 - Network lead",IF(G99&gt;=6,"2 - Date batch","3 - Baseline")))</x:f>
        <x:v>3 - Baseline</x:v>
      </x:c>
      <x:c r="O99" s="35" t="str">
        <x:v>Not Started</x:v>
      </x:c>
      <x:c r="P99" s="36"/>
      <x:c r="Q99" s="35" t="str"/>
      <x:c r="R99" s="35" t="str">
        <x:v>Unknown</x:v>
      </x:c>
      <x:c r="S99" s="35" t="str"/>
      <x:c r="T99" s="36"/>
      <x:c r="U99" s="35" t="str"/>
      <x:c r="V99" s="35" t="str"/>
      <x:c r="W99" s="35" t="str"/>
      <x:c r="X99" s="35" t="str"/>
      <x:c r="Y99" s="35" t="str">
        <x:v>Not Started</x:v>
      </x:c>
      <x:c r="Z99" s="35" t="str"/>
      <x:c r="AA99" s="35" t="str">
        <x:v>No Exact Hit</x:v>
      </x:c>
      <x:c r="AB99" s="35" t="str">
        <x:v>Unassessed</x:v>
      </x:c>
      <x:c r="AC99" s="35" t="str"/>
      <x:c r="AD99" s="37" t="str"/>
    </x:row>
    <x:row r="100">
      <x:c r="A100" s="50" t="str">
        <x:v>713613</x:v>
      </x:c>
      <x:c r="B100" s="35" t="str">
        <x:v>BLACKSHEEP FARMS, INC.</x:v>
      </x:c>
      <x:c r="C100" s="35" t="str">
        <x:v>CORPORATION FOR PROFIT</x:v>
      </x:c>
      <x:c r="D100" s="36" t="n">
        <x:v>34243</x:v>
      </x:c>
      <x:c r="E100" s="35" t="n">
        <x:f>YEAR(D100)</x:f>
        <x:v>1993</x:v>
      </x:c>
      <x:c r="F100" s="35" t="str">
        <x:f>TEXT(D100,"yyyy-mm")</x:f>
        <x:v>1993-10</x:v>
      </x:c>
      <x:c r="G100" s="35" t="n">
        <x:f>COUNTIF($D$2:$D$102,D100)</x:f>
        <x:v>1</x:v>
      </x:c>
      <x:c r="H100" s="35" t="str">
        <x:v>Dead</x:v>
      </x:c>
      <x:c r="I100" s="35" t="str">
        <x:v>DUBLIN</x:v>
      </x:c>
      <x:c r="J100" s="35" t="str">
        <x:v>FRANKLIN</x:v>
      </x:c>
      <x:c r="K100" s="35" t="str">
        <x:v>OHIO</x:v>
      </x:c>
      <x:c r="L100" s="35" t="str">
        <x:v>Property-suggestive name</x:v>
      </x:c>
      <x:c r="M100" s="35" t="str"/>
      <x:c r="N100" s="35" t="str">
        <x:f>IF(M100&lt;&gt;"","1 - Anchor",IF(L100="Explicit network-name lead","1 - Network lead",IF(G100&gt;=6,"2 - Date batch","3 - Baseline")))</x:f>
        <x:v>3 - Baseline</x:v>
      </x:c>
      <x:c r="O100" s="35" t="str">
        <x:v>Not Started</x:v>
      </x:c>
      <x:c r="P100" s="36"/>
      <x:c r="Q100" s="35" t="str"/>
      <x:c r="R100" s="35" t="str">
        <x:v>Unknown</x:v>
      </x:c>
      <x:c r="S100" s="35" t="str"/>
      <x:c r="T100" s="36"/>
      <x:c r="U100" s="35" t="str"/>
      <x:c r="V100" s="35" t="str"/>
      <x:c r="W100" s="35" t="str"/>
      <x:c r="X100" s="35" t="str"/>
      <x:c r="Y100" s="35" t="str">
        <x:v>Not Started</x:v>
      </x:c>
      <x:c r="Z100" s="35" t="str"/>
      <x:c r="AA100" s="35" t="str">
        <x:v>No Exact Hit</x:v>
      </x:c>
      <x:c r="AB100" s="35" t="str">
        <x:v>Unassessed</x:v>
      </x:c>
      <x:c r="AC100" s="35" t="str"/>
      <x:c r="AD100" s="37" t="str"/>
    </x:row>
    <x:row r="101">
      <x:c r="A101" s="50" t="str">
        <x:v>769248</x:v>
      </x:c>
      <x:c r="B101" s="35" t="str">
        <x:v>WESLEYAN CONSERVATION CORP.</x:v>
      </x:c>
      <x:c r="C101" s="35" t="str">
        <x:v>CORPORATION FOR PROFIT</x:v>
      </x:c>
      <x:c r="D101" s="36" t="n">
        <x:v>34471</x:v>
      </x:c>
      <x:c r="E101" s="35" t="n">
        <x:f>YEAR(D101)</x:f>
        <x:v>1994</x:v>
      </x:c>
      <x:c r="F101" s="35" t="str">
        <x:f>TEXT(D101,"yyyy-mm")</x:f>
        <x:v>1994-05</x:v>
      </x:c>
      <x:c r="G101" s="35" t="n">
        <x:f>COUNTIF($D$2:$D$102,D101)</x:f>
        <x:v>1</x:v>
      </x:c>
      <x:c r="H101" s="35" t="str">
        <x:v>Active</x:v>
      </x:c>
      <x:c r="I101" s="35" t="str">
        <x:v>COLUMBUS</x:v>
      </x:c>
      <x:c r="J101" s="35" t="str">
        <x:v>FRANKLIN</x:v>
      </x:c>
      <x:c r="K101" s="35" t="str">
        <x:v>OHIO</x:v>
      </x:c>
      <x:c r="L101" s="35" t="str">
        <x:v>Property-suggestive name</x:v>
      </x:c>
      <x:c r="M101" s="35" t="str"/>
      <x:c r="N101" s="35" t="str">
        <x:f>IF(M101&lt;&gt;"","1 - Anchor",IF(L101="Explicit network-name lead","1 - Network lead",IF(G101&gt;=6,"2 - Date batch","3 - Baseline")))</x:f>
        <x:v>3 - Baseline</x:v>
      </x:c>
      <x:c r="O101" s="35" t="str">
        <x:v>Not Started</x:v>
      </x:c>
      <x:c r="P101" s="36"/>
      <x:c r="Q101" s="35" t="str"/>
      <x:c r="R101" s="35" t="str">
        <x:v>Unknown</x:v>
      </x:c>
      <x:c r="S101" s="35" t="str"/>
      <x:c r="T101" s="36"/>
      <x:c r="U101" s="35" t="str"/>
      <x:c r="V101" s="35" t="str"/>
      <x:c r="W101" s="35" t="str"/>
      <x:c r="X101" s="35" t="str"/>
      <x:c r="Y101" s="35" t="str">
        <x:v>Not Started</x:v>
      </x:c>
      <x:c r="Z101" s="35" t="str"/>
      <x:c r="AA101" s="35" t="str">
        <x:v>No Exact Hit</x:v>
      </x:c>
      <x:c r="AB101" s="35" t="str">
        <x:v>Unassessed</x:v>
      </x:c>
      <x:c r="AC101" s="35" t="str"/>
      <x:c r="AD101" s="37" t="str"/>
    </x:row>
    <x:row r="102">
      <x:c r="A102" s="51" t="str">
        <x:v>993710</x:v>
      </x:c>
      <x:c r="B102" s="39" t="str">
        <x:v>BREWHO! LLC</x:v>
      </x:c>
      <x:c r="C102" s="39" t="str">
        <x:v>DOMESTIC LIMITED LIABILITY COMPANY</x:v>
      </x:c>
      <x:c r="D102" s="40" t="n">
        <x:v>35710</x:v>
      </x:c>
      <x:c r="E102" s="39" t="n">
        <x:f>YEAR(D102)</x:f>
        <x:v>1997</x:v>
      </x:c>
      <x:c r="F102" s="39" t="str">
        <x:f>TEXT(D102,"yyyy-mm")</x:f>
        <x:v>1997-10</x:v>
      </x:c>
      <x:c r="G102" s="39" t="n">
        <x:f>COUNTIF($D$2:$D$102,D102)</x:f>
        <x:v>1</x:v>
      </x:c>
      <x:c r="H102" s="39" t="str">
        <x:v>Active</x:v>
      </x:c>
      <x:c r="I102" s="39" t="str">
        <x:v>-</x:v>
      </x:c>
      <x:c r="J102" s="39" t="str">
        <x:v>-</x:v>
      </x:c>
      <x:c r="K102" s="39" t="str">
        <x:v>OHIO</x:v>
      </x:c>
      <x:c r="L102" s="39" t="str">
        <x:v>Other or operating-company name</x:v>
      </x:c>
      <x:c r="M102" s="39" t="str"/>
      <x:c r="N102" s="39" t="str">
        <x:f>IF(M102&lt;&gt;"","1 - Anchor",IF(L102="Explicit network-name lead","1 - Network lead",IF(G102&gt;=6,"2 - Date batch","3 - Baseline")))</x:f>
        <x:v>3 - Baseline</x:v>
      </x:c>
      <x:c r="O102" s="39" t="str">
        <x:v>Not Started</x:v>
      </x:c>
      <x:c r="P102" s="40"/>
      <x:c r="Q102" s="39" t="str"/>
      <x:c r="R102" s="39" t="str">
        <x:v>Unknown</x:v>
      </x:c>
      <x:c r="S102" s="39" t="str"/>
      <x:c r="T102" s="40"/>
      <x:c r="U102" s="39" t="str"/>
      <x:c r="V102" s="39" t="str"/>
      <x:c r="W102" s="39" t="str"/>
      <x:c r="X102" s="39" t="str"/>
      <x:c r="Y102" s="39" t="str">
        <x:v>Not Started</x:v>
      </x:c>
      <x:c r="Z102" s="39" t="str"/>
      <x:c r="AA102" s="39" t="str">
        <x:v>No Exact Hit</x:v>
      </x:c>
      <x:c r="AB102" s="39" t="str">
        <x:v>Unassessed</x:v>
      </x:c>
      <x:c r="AC102" s="39" t="str"/>
      <x:c r="AD102" s="41" t="str"/>
    </x:row>
  </x:sheetData>
  <x:conditionalFormatting sqref="N2:N102">
    <x:cfRule type="containsText" dxfId="0" priority="1" operator="containsText" text="1 -"/>
    <x:cfRule type="containsText" dxfId="1" priority="2" operator="containsText" text="2 -"/>
  </x:conditionalFormatting>
  <x:conditionalFormatting sqref="O2:O102">
    <x:cfRule type="containsText" dxfId="2" priority="3" operator="containsText" text="Complete"/>
  </x:conditionalFormatting>
  <x:dataValidations count="5">
    <x:dataValidation type="list" sqref="O2:O102">
      <x:formula1>"Not Started,In Progress,Complete,Blocked"</x:formula1>
    </x:dataValidation>
    <x:dataValidation type="list" sqref="R2:R102">
      <x:formula1>"Unknown,Merger,Consolidation,Conversion,Dissolution,Cancellation,Surrender,Still Active"</x:formula1>
    </x:dataValidation>
    <x:dataValidation type="list" sqref="Y2:Y102">
      <x:formula1>"Not Started,In Progress,Hit,No Hit - Covered,Source Unavailable"</x:formula1>
    </x:dataValidation>
    <x:dataValidation type="list" sqref="AA2:AA102">
      <x:formula1>"Not Started,In Progress,Hit,No Exact Hit,OCR Noise Only"</x:formula1>
    </x:dataValidation>
    <x:dataValidation type="list" sqref="AB2:AB102">
      <x:formula1>"Unassessed,Related,Probably Related,Possible,Unrelated,Conflict"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4d8cf4bb3641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95" hidden="0" customWidth="1"/>
    <x:col min="4" max="4" width="55" hidden="0" customWidth="1"/>
  </x:cols>
  <x:sheetData>
    <x:row r="1">
      <x:c r="A1" s="12" t="str">
        <x:v>Agent Effective Date</x:v>
      </x:c>
      <x:c r="B1" s="13" t="str">
        <x:v>Entity Count</x:v>
      </x:c>
      <x:c r="C1" s="13" t="str">
        <x:v>Entities</x:v>
      </x:c>
      <x:c r="D1" s="14" t="str">
        <x:v>Interpretive Guardrail</x:v>
      </x:c>
    </x:row>
    <x:row r="2">
      <x:c r="A2" s="58" t="n">
        <x:v>32128</x:v>
      </x:c>
      <x:c r="B2" s="35" t="n">
        <x:v>10</x:v>
      </x:c>
      <x:c r="C2" s="35" t="str">
        <x:v>689665 BEARCE HOLLOW, INC.; 689664 BREWER FARMS, INC.; 689663 CARLISLE MEADOWS, INC.; 689666 CENTRAL FALLS, INC.; 689454 DAISEYLAND FARMS, INC.; 689908 EASTSIDE INDUSTRIAL, INC.; 689662 FRONTIER HILLS, INC.; 689906 GAHANNA TRUCKING, INC.; 689907 GREAT EASTERN FASTENING CORP.; 689446 GREYSTONE ACRES, INC.</x:v>
      </x:c>
      <x:c r="D2" s="37" t="str">
        <x:v>Agent appointment cluster only; corporate-action type requires filing history.</x:v>
      </x:c>
    </x:row>
    <x:row r="3">
      <x:c r="A3" s="58" t="n">
        <x:v>32276</x:v>
      </x:c>
      <x:c r="B3" s="35" t="n">
        <x:v>10</x:v>
      </x:c>
      <x:c r="C3" s="35" t="str">
        <x:v>724612 BLUFFTON HOLDING CORPORATION; 724613 DIAMOND DEVELOPMENT COMPANY; 724614 DONCASTER DEVELOPMENT, INC.; 724615 DONNER DEVELOPMENT COMPANY; 724616 FARMINGTON DEVELOPERS, INC.; 724617 LANDES MANAGEMENT CORPORATION; 724618 MAYCOR INCORPORATED; 724619 MELLERIC CORPORATION; 724620 SUMMIT HOLDING, INC.; 724621 UNION HOLDING CORPORATION</x:v>
      </x:c>
      <x:c r="D3" s="37" t="str">
        <x:v>Agent appointment cluster only; corporate-action type requires filing history.</x:v>
      </x:c>
    </x:row>
    <x:row r="4">
      <x:c r="A4" s="58" t="n">
        <x:v>32125</x:v>
      </x:c>
      <x:c r="B4" s="35" t="n">
        <x:v>9</x:v>
      </x:c>
      <x:c r="C4" s="35" t="str">
        <x:v>706250 AUTUMN ACRES, INC.; 709782 BLACKFORD INVESTMENTS, INC.; 710873 BLACKLICK PROPERTIES, INC.; 711268 BLENDON FARMS, INC.; 712106 HARLEM INVESTMENT CORPORATION; 712170 IVY HEARTH PROPERTIES, INC.; 712264 LEEACE INC.; 712296 MORSHAM LAND CORPORATION; 712441 ROCKYRIVER PROPERTIES, INC.</x:v>
      </x:c>
      <x:c r="D4" s="37" t="str">
        <x:v>Agent appointment cluster only; corporate-action type requires filing history.</x:v>
      </x:c>
    </x:row>
    <x:row r="5">
      <x:c r="A5" s="58" t="n">
        <x:v>32211</x:v>
      </x:c>
      <x:c r="B5" s="35" t="n">
        <x:v>9</x:v>
      </x:c>
      <x:c r="C5" s="35" t="str">
        <x:v>720246 CASELIN DEVELOPMENT CORPORATION; 720366 CHESSER ESTATES, INC.; 720360 FORMAN FARMS, INC.; 720361 PALM PROPERTIES, INC.; 720362 SAREN INVESTMENTS INCORPORATED; 720363 TANDEM INVESTMENTS INCORPORATED; 720489 TIMBRE PROPERTIES, INC.; 720364 VILLA DEVELOPMENT CORP.; 720365 VILLAGE ACRES, INC.</x:v>
      </x:c>
      <x:c r="D5" s="37" t="str">
        <x:v>Agent appointment cluster only; corporate-action type requires filing history.</x:v>
      </x:c>
    </x:row>
    <x:row r="6">
      <x:c r="A6" s="58" t="n">
        <x:v>32133</x:v>
      </x:c>
      <x:c r="B6" s="35" t="n">
        <x:v>8</x:v>
      </x:c>
      <x:c r="C6" s="35" t="str">
        <x:v>714670 BLUEBERRY RIDGE PROPERTIES, INC.; 714673 CEDAR CANYON PROPERTIES, INC.; 714674 CHESTNUT HEIGHTS CORPORATION; 714676 DEERFIELD MEADOWS, INC.; 714672 PLATEAU ACRES INCORPORATED; 714669 ROCKYRIDGE DEVELOPMENT CORP.; 714675 SPRING HARBOR PROPERTIES, INC.; 714671 TUMBLEWEED ESTATES, INC.</x:v>
      </x:c>
      <x:c r="D6" s="37" t="str">
        <x:v>Agent appointment cluster only; corporate-action type requires filing history.</x:v>
      </x:c>
    </x:row>
    <x:row r="7">
      <x:c r="A7" s="58" t="n">
        <x:v>32121</x:v>
      </x:c>
      <x:c r="B7" s="35" t="n">
        <x:v>6</x:v>
      </x:c>
      <x:c r="C7" s="35" t="str">
        <x:v>713843 BRIARPATCH FIELDS, INC.; 713838 CANDLEBERRY COVE, INC.; 713840 HARECK ENTERPRISES, INC.; 713841 MAPLEGROVE PROPERTIES, INC.; 713839 PLAIN DESIGNS, INCORPORATED; 713842 REDWOOD STABLES, INC.</x:v>
      </x:c>
      <x:c r="D7" s="37" t="str">
        <x:v>Agent appointment cluster only; corporate-action type requires filing history.</x:v>
      </x:c>
    </x:row>
    <x:row r="8">
      <x:c r="A8" s="58" t="n">
        <x:v>32206</x:v>
      </x:c>
      <x:c r="B8" s="35" t="n">
        <x:v>6</x:v>
      </x:c>
      <x:c r="C8" s="35" t="str">
        <x:v>719941 FORDHAM INVESTMENT, INC.; 719946 FORREST FARMS, INC.; 719942 LINDEN ACRES, INC.; 719943 MEADE DEVELOPMENT CORPORATION; 719944 ROCKFORD DEVELOPMENT, INC.; 719945 TUDOR PROPERTIES, INC.</x:v>
      </x:c>
      <x:c r="D8" s="37" t="str">
        <x:v>Agent appointment cluster only; corporate-action type requires filing history.</x:v>
      </x:c>
    </x:row>
    <x:row r="9">
      <x:c r="A9" s="58" t="n">
        <x:v>32339</x:v>
      </x:c>
      <x:c r="B9" s="35" t="n">
        <x:v>6</x:v>
      </x:c>
      <x:c r="C9" s="35" t="str">
        <x:v>728764 ARGOTRON CORPORATION; 728765 CURRANT CORPORATION; 728766 MACKINAW MARKETING CO.; 728767 MARGIN MANAGEMENT COMPANY; 728768 SCRIPTON PRODUCTS, INC.; 728763 WHEATON COMPANY</x:v>
      </x:c>
      <x:c r="D9" s="37" t="str">
        <x:v>Agent appointment cluster only; corporate-action type requires filing history.</x:v>
      </x:c>
    </x:row>
    <x:row r="10">
      <x:c r="A10" s="58" t="n">
        <x:v>32379</x:v>
      </x:c>
      <x:c r="B10" s="35" t="n">
        <x:v>6</x:v>
      </x:c>
      <x:c r="C10" s="35" t="str">
        <x:v>731362 CHATTEN MARKETING COMPANY; 731363 FANTEL PRODUCTS COMPANY; 731364 GRAETON DEVELOPMENT COMPANY; 731365 INDICO INVESTMENTS, INC.; 731360 JETNER CORPORATION; 731361 MENTIN PRODUCTS, INC.</x:v>
      </x:c>
      <x:c r="D10" s="37" t="str">
        <x:v>Agent appointment cluster only; corporate-action type requires filing history.</x:v>
      </x:c>
    </x:row>
    <x:row r="11">
      <x:c r="A11" s="58" t="n">
        <x:v>32122</x:v>
      </x:c>
      <x:c r="B11" s="35" t="n">
        <x:v>4</x:v>
      </x:c>
      <x:c r="C11" s="35" t="str">
        <x:v>713922 FRONTIER TRADERS, INC.; 713923 KITZMILLER PROPERTIES, INC.; 713924 OAKFIELD ENTERPRISES, INC.; 713926 WILDWOOD ACRES, INC.</x:v>
      </x:c>
      <x:c r="D11" s="37" t="str">
        <x:v>Agent appointment cluster only; corporate-action type requires filing history.</x:v>
      </x:c>
    </x:row>
    <x:row r="12">
      <x:c r="A12" s="59" t="n">
        <x:v>32409</x:v>
      </x:c>
      <x:c r="B12" s="39" t="n">
        <x:v>2</x:v>
      </x:c>
      <x:c r="C12" s="39" t="str">
        <x:v>733246 CRISTAH CORPORATION; 733247 RETTLIN INVESTMENT COMPANY</x:v>
      </x:c>
      <x:c r="D12" s="41" t="str">
        <x:v>Agent appointment cluster only; corporate-action type requires filing history.</x:v>
      </x:c>
    </x:row>
  </x:sheetData>
  <x:pageMargins left="0.7" right="0.7" top="0.75" bottom="0.75" header="0.3" footer="0.3"/>
  <x:tableParts count="1">
    <x:tablePart xmlns:r="http://schemas.openxmlformats.org/officeDocument/2006/relationships" r:id="R9f45bec73f6c4c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6" hidden="0" customWidth="1"/>
  </x:cols>
  <x:sheetData>
    <x:row r="1" ht="32" customHeight="1">
      <x:c r="A1" s="66" t="str">
        <x:v>Dorothy Snow Ohio Entity Review</x:v>
      </x:c>
      <x:c r="B1" s="66"/>
      <x:c r="C1" s="66"/>
      <x:c r="D1" s="66"/>
      <x:c r="E1" s="66"/>
      <x:c r="F1" s="66"/>
    </x:row>
    <x:row r="2" ht="36" customHeight="1">
      <x:c r="A2" s="74" t="str">
        <x:v>The source date is Agent Effective Date—not formation, merger, dissolution, or property-transfer date.</x:v>
      </x:c>
      <x:c r="B2" s="74"/>
      <x:c r="C2" s="74"/>
      <x:c r="D2" s="74"/>
      <x:c r="E2" s="74"/>
      <x:c r="F2" s="74"/>
    </x:row>
    <x:row r="4">
      <x:c r="A4" s="76" t="str">
        <x:v>Metric</x:v>
      </x:c>
      <x:c r="B4" s="77" t="str">
        <x:v>Value</x:v>
      </x:c>
      <x:c r="D4" s="76" t="str">
        <x:v>Agent Effective Year</x:v>
      </x:c>
      <x:c r="E4" s="77" t="str">
        <x:v>Entity Count</x:v>
      </x:c>
    </x:row>
    <x:row r="5">
      <x:c r="A5" s="88" t="str">
        <x:v>Total entities</x:v>
      </x:c>
      <x:c r="B5" s="79" t="n">
        <x:f>COUNTA('Entity Review'!A2:A102)</x:f>
        <x:v>101</x:v>
      </x:c>
      <x:c r="D5" s="78" t="n">
        <x:v>1985</x:v>
      </x:c>
      <x:c r="E5" s="79" t="n">
        <x:f>COUNTIF('Entity Review'!E$2:E$102,D5)</x:f>
        <x:v>1</x:v>
      </x:c>
    </x:row>
    <x:row r="6">
      <x:c r="A6" s="88" t="str">
        <x:v>Agent dates in 1987–1988</x:v>
      </x:c>
      <x:c r="B6" s="79" t="n">
        <x:f>COUNTIFS('Entity Review'!D2:D102,"&gt;="&amp;DATE(1987,1,1),'Entity Review'!D2:D102,"&lt;"&amp;DATE(1989,1,1))</x:f>
        <x:v>85</x:v>
      </x:c>
      <x:c r="D6" s="78" t="n">
        <x:v>1986</x:v>
      </x:c>
      <x:c r="E6" s="79" t="n">
        <x:f>COUNTIF('Entity Review'!E$2:E$102,D6)</x:f>
        <x:v>4</x:v>
      </x:c>
    </x:row>
    <x:row r="7">
      <x:c r="A7" s="88" t="str">
        <x:v>Current export status: Dead</x:v>
      </x:c>
      <x:c r="B7" s="79" t="n">
        <x:f>COUNTIF('Entity Review'!H2:H102,"Dead")</x:f>
        <x:v>96</x:v>
      </x:c>
      <x:c r="D7" s="78" t="n">
        <x:v>1987</x:v>
      </x:c>
      <x:c r="E7" s="79" t="n">
        <x:f>COUNTIF('Entity Review'!E$2:E$102,D7)</x:f>
        <x:v>44</x:v>
      </x:c>
    </x:row>
    <x:row r="8">
      <x:c r="A8" s="88" t="str">
        <x:v>Exact agent-date clusters (2+)</x:v>
      </x:c>
      <x:c r="B8" s="79" t="n">
        <x:f>COUNTA('Agent Date Clusters'!A2:A12)</x:f>
        <x:v>11</x:v>
      </x:c>
      <x:c r="D8" s="78" t="n">
        <x:v>1988</x:v>
      </x:c>
      <x:c r="E8" s="79" t="n">
        <x:f>COUNTIF('Entity Review'!E$2:E$102,D8)</x:f>
        <x:v>41</x:v>
      </x:c>
    </x:row>
    <x:row r="9">
      <x:c r="A9" s="89" t="str">
        <x:v>Evidence-backed / user anchors</x:v>
      </x:c>
      <x:c r="B9" s="81" t="n">
        <x:f>COUNTIF('Entity Review'!N2:N102,"1 - Anchor")</x:f>
        <x:v>4</x:v>
      </x:c>
      <x:c r="D9" s="78" t="n">
        <x:v>1989</x:v>
      </x:c>
      <x:c r="E9" s="79" t="n">
        <x:f>COUNTIF('Entity Review'!E$2:E$102,D9)</x:f>
        <x:v>3</x:v>
      </x:c>
    </x:row>
    <x:row r="10">
      <x:c r="D10" s="78" t="n">
        <x:v>1990</x:v>
      </x:c>
      <x:c r="E10" s="79" t="n">
        <x:f>COUNTIF('Entity Review'!E$2:E$102,D10)</x:f>
        <x:v>2</x:v>
      </x:c>
    </x:row>
    <x:row r="11">
      <x:c r="D11" s="78" t="n">
        <x:v>1991</x:v>
      </x:c>
      <x:c r="E11" s="79" t="n">
        <x:f>COUNTIF('Entity Review'!E$2:E$102,D11)</x:f>
        <x:v>2</x:v>
      </x:c>
    </x:row>
    <x:row r="12">
      <x:c r="A12" s="10" t="str">
        <x:v>First review sequence</x:v>
      </x:c>
      <x:c r="B12" s="10"/>
      <x:c r="C12" s="10"/>
      <x:c r="D12" s="104" t="n">
        <x:v>1992</x:v>
      </x:c>
      <x:c r="E12" s="105" t="n">
        <x:f>COUNTIF('Entity Review'!E$2:E$102,D12)</x:f>
        <x:v>1</x:v>
      </x:c>
      <x:c r="F12" s="10"/>
    </x:row>
    <x:row r="13" ht="30" customHeight="1">
      <x:c r="A13" s="128" t="str">
        <x:v>1. Capture INN Investment Corp. #678033 dissolution scan and exact capacities.</x:v>
      </x:c>
      <x:c r="B13" s="128"/>
      <x:c r="C13" s="128"/>
      <x:c r="D13" s="129" t="n">
        <x:v>1993</x:v>
      </x:c>
      <x:c r="E13" s="130" t="n">
        <x:f>COUNTIF('Entity Review'!E$2:E$102,D13)</x:f>
        <x:v>1</x:v>
      </x:c>
      <x:c r="F13" s="128"/>
    </x:row>
    <x:row r="14" ht="30" customHeight="1">
      <x:c r="A14" s="128" t="str">
        <x:v>2. Resolve ESPER, INC. #686166 against Sunbiz P12512 and its full Ohio file.</x:v>
      </x:c>
      <x:c r="B14" s="128"/>
      <x:c r="C14" s="128"/>
      <x:c r="D14" s="129" t="n">
        <x:v>1994</x:v>
      </x:c>
      <x:c r="E14" s="130" t="n">
        <x:f>COUNTIF('Entity Review'!E$2:E$102,D14)</x:f>
        <x:v>1</x:v>
      </x:c>
      <x:c r="F14" s="128"/>
    </x:row>
    <x:row r="15" ht="30" customHeight="1">
      <x:c r="A15" s="128" t="str">
        <x:v>3. Pull all 101 Ohio filing histories and classify every terminal action.</x:v>
      </x:c>
      <x:c r="B15" s="128"/>
      <x:c r="C15" s="128"/>
      <x:c r="D15" s="129" t="n">
        <x:v>1995</x:v>
      </x:c>
      <x:c r="E15" s="130" t="n">
        <x:f>COUNTIF('Entity Review'!E$2:E$102,D15)</x:f>
        <x:v>0</x:v>
      </x:c>
      <x:c r="F15" s="128"/>
    </x:row>
    <x:row r="16" ht="30" customHeight="1">
      <x:c r="A16" s="128" t="str">
        <x:v>4. Resolve mergers/consolidations/conversions from images and reciprocal document IDs.</x:v>
      </x:c>
      <x:c r="B16" s="128"/>
      <x:c r="C16" s="128"/>
      <x:c r="D16" s="129" t="n">
        <x:v>1996</x:v>
      </x:c>
      <x:c r="E16" s="130" t="n">
        <x:f>COUNTIF('Entity Review'!E$2:E$102,D16)</x:f>
        <x:v>0</x:v>
      </x:c>
      <x:c r="F16" s="128"/>
    </x:row>
    <x:row r="17" ht="30" customHeight="1">
      <x:c r="A17" s="128" t="str">
        <x:v>5. Reconstruct property title chains and extract dated people/address/counsel events.</x:v>
      </x:c>
      <x:c r="B17" s="128"/>
      <x:c r="C17" s="128"/>
      <x:c r="D17" s="131" t="n">
        <x:v>1997</x:v>
      </x:c>
      <x:c r="E17" s="132" t="n">
        <x:f>COUNTIF('Entity Review'!E$2:E$102,D17)</x:f>
        <x:v>1</x:v>
      </x:c>
      <x:c r="F17" s="128"/>
    </x:row>
  </x:sheetData>
  <x:mergeCells>
    <x:mergeCell ref="A1:F1"/>
    <x:mergeCell ref="A2:F2"/>
    <x:mergeCell ref="A12:F12"/>
    <x:mergeCell ref="A13:F13"/>
    <x:mergeCell ref="A14:F14"/>
    <x:mergeCell ref="A15:F15"/>
    <x:mergeCell ref="A16:F16"/>
    <x:mergeCell ref="A17:F17"/>
  </x:mergeCells>
  <x:pageMargins left="0.7" right="0.7" top="0.75" bottom="0.75" header="0.3" footer="0.3"/>
  <x:drawing xmlns:r="http://schemas.openxmlformats.org/officeDocument/2006/relationships" r:id="Rdcde6098301d4c2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5" hidden="0" customWidth="1"/>
    <x:col min="3" max="3" width="65" hidden="0" customWidth="1"/>
  </x:cols>
  <x:sheetData>
    <x:row r="1">
      <x:c r="A1" s="12" t="str">
        <x:v>Field / Concept</x:v>
      </x:c>
      <x:c r="B1" s="13" t="str">
        <x:v>Meaning</x:v>
      </x:c>
      <x:c r="C1" s="14" t="str">
        <x:v>Do not infer</x:v>
      </x:c>
    </x:row>
    <x:row r="2" ht="42" customHeight="1">
      <x:c r="A2" s="34" t="str">
        <x:v>Agent Effective Date</x:v>
      </x:c>
      <x:c r="B2" s="35" t="str">
        <x:v>Date associated with Dorothy Snow's agent/registrant relationship in the supplied export.</x:v>
      </x:c>
      <x:c r="C2" s="37" t="str">
        <x:v>Entity formation, merger, dissolution, acquisition, or property transfer.</x:v>
      </x:c>
    </x:row>
    <x:row r="3" ht="42" customHeight="1">
      <x:c r="A3" s="34" t="str">
        <x:v>Current Export Status</x:v>
      </x:c>
      <x:c r="B3" s="35" t="str">
        <x:v>Coarse status displayed in the export as of capture.</x:v>
      </x:c>
      <x:c r="C3" s="37" t="str">
        <x:v>A Dead entity merged; terminal cause requires filing history.</x:v>
      </x:c>
    </x:row>
    <x:row r="4" ht="42" customHeight="1">
      <x:c r="A4" s="34" t="str">
        <x:v>Terminal Action</x:v>
      </x:c>
      <x:c r="B4" s="35" t="str">
        <x:v>Legal action established from a filing-history row and preferably the image.</x:v>
      </x:c>
      <x:c r="C4" s="37" t="str">
        <x:v>Merger from name, date cluster, agent, or status alone.</x:v>
      </x:c>
    </x:row>
    <x:row r="5" ht="42" customHeight="1">
      <x:c r="A5" s="34" t="str">
        <x:v>Survivor / Resulting Entity</x:v>
      </x:c>
      <x:c r="B5" s="35" t="str">
        <x:v>Entity explicitly named as survivor/new/converted result in the filing image.</x:v>
      </x:c>
      <x:c r="C5" s="37" t="str">
        <x:v>Return addressee, agent, or property grantee unless separately proved.</x:v>
      </x:c>
    </x:row>
    <x:row r="6" ht="42" customHeight="1">
      <x:c r="A6" s="34" t="str">
        <x:v>Officers / Signers / Capacities</x:v>
      </x:c>
      <x:c r="B6" s="35" t="str">
        <x:v>Exact person names and roles stated in the specific instrument.</x:v>
      </x:c>
      <x:c r="C6" s="37" t="str">
        <x:v>Ownership or a role lasting outside the instrument date.</x:v>
      </x:c>
    </x:row>
    <x:row r="7" ht="42" customHeight="1">
      <x:c r="A7" s="34" t="str">
        <x:v>Name Signal</x:v>
      </x:c>
      <x:c r="B7" s="35" t="str">
        <x:v>Search-priority classification based only on the legal name.</x:v>
      </x:c>
      <x:c r="C7" s="37" t="str">
        <x:v>Common control or property ownership.</x:v>
      </x:c>
    </x:row>
    <x:row r="8" ht="42" customHeight="1">
      <x:c r="A8" s="34" t="str">
        <x:v>Known Anchor / Caveat</x:v>
      </x:c>
      <x:c r="B8" s="35" t="str">
        <x:v>User-provided or independently established reason to prioritize a row.</x:v>
      </x:c>
      <x:c r="C8" s="37" t="str">
        <x:v>Primary confirmation when the filing scan is still missing.</x:v>
      </x:c>
    </x:row>
    <x:row r="9" ht="42" customHeight="1">
      <x:c r="A9" s="34" t="str">
        <x:v>No Hit - Covered</x:v>
      </x:c>
      <x:c r="B9" s="35" t="str">
        <x:v>Source had appropriate jurisdiction/date/name coverage and returned no result.</x:v>
      </x:c>
      <x:c r="C9" s="37" t="str">
        <x:v>Absence from unsearched, blocked, or out-of-scope sources.</x:v>
      </x:c>
    </x:row>
    <x:row r="10" ht="42" customHeight="1">
      <x:c r="A10" s="34" t="str">
        <x:v>No Exact Hit</x:v>
      </x:c>
      <x:c r="B10" s="35" t="str">
        <x:v>The completed bounded local corpus/database crosswalk produced no accepted exact entity match.</x:v>
      </x:c>
      <x:c r="C10" s="37" t="str">
        <x:v>That the entity is unrelated, or that Ohio registry/property sources were covered.</x:v>
      </x:c>
    </x:row>
    <x:row r="11" ht="42" customHeight="1">
      <x:c r="A11" s="38" t="str">
        <x:v>Evidence Links / IDs</x:v>
      </x:c>
      <x:c r="B11" s="39" t="str">
        <x:v>Exact official document IDs, image URLs, recorder instruments, parcel IDs, or corpus IDs.</x:v>
      </x:c>
      <x:c r="C11" s="41" t="str">
        <x:v>Search-result URLs as substitutes for underlying evidence.</x:v>
      </x:c>
    </x:row>
  </x:sheetData>
  <x:pageMargins left="0.7" right="0.7" top="0.75" bottom="0.75" header="0.3" footer="0.3"/>
</x:worksheet>
</file>