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ae6427ed8544b5" /></Relationships>
</file>

<file path=xl/workbook.xml><?xml version="1.0" encoding="utf-8"?>
<x:workbook xmlns:x="http://schemas.openxmlformats.org/spreadsheetml/2006/main">
  <x:sheets>
    <x:sheet xmlns:r="http://schemas.openxmlformats.org/officeDocument/2006/relationships" name="Executive Summary" sheetId="1" r:id="R76ef482c8e994f69"/>
    <x:sheet xmlns:r="http://schemas.openxmlformats.org/officeDocument/2006/relationships" name="Entity Coverage" sheetId="2" r:id="R891bbd3c0eb64bbf"/>
    <x:sheet xmlns:r="http://schemas.openxmlformats.org/officeDocument/2006/relationships" name="Parcel Chronology" sheetId="3" r:id="R0d7df6b010404da9"/>
    <x:sheet xmlns:r="http://schemas.openxmlformats.org/officeDocument/2006/relationships" name="Timeline Clusters" sheetId="4" r:id="Rb5f84dd04b3b49cf"/>
    <x:sheet xmlns:r="http://schemas.openxmlformats.org/officeDocument/2006/relationships" name="Instrument Ledger" sheetId="5" r:id="Rb0db50fb293247b3"/>
    <x:sheet xmlns:r="http://schemas.openxmlformats.org/officeDocument/2006/relationships" name="Entity Index" sheetId="6" r:id="R523e8dc4610f4c51"/>
    <x:sheet xmlns:r="http://schemas.openxmlformats.org/officeDocument/2006/relationships" name="Evidence Index" sheetId="7" r:id="R675f02c66d804c50"/>
    <x:sheet xmlns:r="http://schemas.openxmlformats.org/officeDocument/2006/relationships" name="Merger Transactions" sheetId="8" r:id="R9acb9386aa474da4"/>
    <x:sheet xmlns:r="http://schemas.openxmlformats.org/officeDocument/2006/relationships" name="Merger Parties" sheetId="9" r:id="Rbc4ddfa3644c47ee"/>
    <x:sheet xmlns:r="http://schemas.openxmlformats.org/officeDocument/2006/relationships" name="Morsham Chain" sheetId="10" r:id="Rc439375151f34387"/>
    <x:sheet xmlns:r="http://schemas.openxmlformats.org/officeDocument/2006/relationships" name="Search QA" sheetId="11" r:id="R4c56570545804e1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21">
    <x:font>
      <x:sz val="11"/>
      <x:name val="Carlito"/>
    </x:font>
    <x:font>
      <x:b/>
      <x:sz val="17"/>
      <x:color rgb="FFFFFFFF"/>
      <x:name val="Aptos Display"/>
    </x:font>
    <x:font>
      <x:i/>
      <x:sz val="9"/>
      <x:color rgb="FF5B6573"/>
      <x:name val="Aptos"/>
    </x:font>
    <x:font>
      <x:b/>
      <x:sz val="10"/>
      <x:color rgb="FF17365D"/>
      <x:name val="Carlito"/>
    </x:font>
    <x:font>
      <x:b/>
      <x:sz val="22"/>
      <x:color rgb="FF17365D"/>
      <x:name val="Carlito"/>
    </x:font>
    <x:font>
      <x:b/>
      <x:sz val="11"/>
      <x:color rgb="FFFFFFFF"/>
      <x:name val="Carlito"/>
    </x:font>
    <x:font>
      <x:b/>
      <x:sz val="9"/>
      <x:color rgb="FF17365D"/>
      <x:name val="Carlito"/>
    </x:font>
    <x:font>
      <x:sz val="9"/>
      <x:color rgb="FF1F2937"/>
      <x:name val="Carlito"/>
    </x:font>
    <x:font>
      <x:b/>
      <x:sz val="9"/>
      <x:color rgb="FF1F6D6A"/>
      <x:name val="Carlito"/>
    </x:font>
    <x:font>
      <x:b/>
      <x:sz val="9"/>
      <x:color rgb="FFC69214"/>
      <x:name val="Carlito"/>
    </x:font>
    <x:font>
      <x:b/>
      <x:sz val="17"/>
      <x:color rgb="FFFFFFFF"/>
      <x:name val="Aptos"/>
    </x:font>
    <x:font>
      <x:sz val="11"/>
      <x:name val="Aptos"/>
    </x:font>
    <x:font>
      <x:b/>
      <x:sz val="10"/>
      <x:color rgb="FF17365D"/>
      <x:name val="Aptos"/>
    </x:font>
    <x:font>
      <x:b/>
      <x:sz val="22"/>
      <x:color rgb="FF17365D"/>
      <x:name val="Aptos"/>
    </x:font>
    <x:font>
      <x:b/>
      <x:sz val="11"/>
      <x:color rgb="FFFFFFFF"/>
      <x:name val="Aptos"/>
    </x:font>
    <x:font>
      <x:b/>
      <x:sz val="9"/>
      <x:color rgb="FF17365D"/>
      <x:name val="Aptos"/>
    </x:font>
    <x:font>
      <x:sz val="9"/>
      <x:color rgb="FF1F2937"/>
      <x:name val="Aptos"/>
    </x:font>
    <x:font>
      <x:b/>
      <x:sz val="9"/>
      <x:color rgb="FF1F6D6A"/>
      <x:name val="Aptos"/>
    </x:font>
    <x:font>
      <x:b/>
      <x:sz val="9"/>
      <x:color rgb="FFC69214"/>
      <x:name val="Aptos"/>
    </x:font>
    <x:font>
      <x:b/>
      <x:sz val="9"/>
      <x:color rgb="FFFFFFFF"/>
      <x:name val="Aptos"/>
    </x:font>
    <x:font>
      <x:b/>
      <x:sz val="9"/>
      <x:color rgb="FFFFFFFF"/>
      <x:name val="Carlito"/>
    </x:font>
  </x:fonts>
  <x:fills count="12">
    <x:fill>
      <x:patternFill patternType="none"/>
    </x:fill>
    <x:fill>
      <x:patternFill patternType="gray125"/>
    </x:fill>
    <x:fill>
      <x:patternFill patternType="solid">
        <x:fgColor rgb="FF17365D"/>
      </x:patternFill>
    </x:fill>
    <x:fill>
      <x:patternFill patternType="solid">
        <x:fgColor rgb="FFF7F9FC"/>
      </x:patternFill>
    </x:fill>
    <x:fill>
      <x:patternFill patternType="solid">
        <x:fgColor rgb="FFD9EAF7"/>
      </x:patternFill>
    </x:fill>
    <x:fill>
      <x:patternFill patternType="solid">
        <x:fgColor rgb="FFDCEFEA"/>
      </x:patternFill>
    </x:fill>
    <x:fill>
      <x:patternFill patternType="solid">
        <x:fgColor rgb="FFE2F0D9"/>
      </x:patternFill>
    </x:fill>
    <x:fill>
      <x:patternFill patternType="solid">
        <x:fgColor rgb="FFFFF2CC"/>
      </x:patternFill>
    </x:fill>
    <x:fill>
      <x:patternFill patternType="solid">
        <x:fgColor rgb="FF244A73"/>
      </x:patternFill>
    </x:fill>
    <x:fill>
      <x:patternFill patternType="solid">
        <x:fgColor rgb="FF1F6D6A"/>
      </x:patternFill>
    </x:fill>
    <x:fill>
      <x:patternFill patternType="solid">
        <x:fgColor rgb="FFFFFFFF"/>
      </x:patternFill>
    </x:fill>
    <x:fill>
      <x:patternFill patternType="solid">
        <x:fgColor rgb="FFC69214"/>
      </x:patternFill>
    </x:fill>
  </x:fills>
  <x:borders count="20">
    <x:border/>
    <x:border>
      <x:left style="thin">
        <x:color rgb="FFD7DEE7"/>
      </x:left>
      <x:top style="thin">
        <x:color rgb="FFD7DEE7"/>
      </x:top>
      <x:bottom style="thin">
        <x:color rgb="FFD7DEE7"/>
      </x:bottom>
    </x:border>
    <x:border>
      <x:top style="thin">
        <x:color rgb="FFD7DEE7"/>
      </x:top>
      <x:bottom style="thin">
        <x:color rgb="FFD7DEE7"/>
      </x:bottom>
    </x:border>
    <x:border>
      <x:right style="thin">
        <x:color rgb="FFD7DEE7"/>
      </x:right>
      <x:top style="thin">
        <x:color rgb="FFD7DEE7"/>
      </x:top>
      <x:bottom style="thin">
        <x:color rgb="FFD7DEE7"/>
      </x:bottom>
    </x:border>
    <x:border>
      <x:left style="thin">
        <x:color rgb="FFD7DEE7"/>
      </x:left>
      <x:top style="thin">
        <x:color rgb="FFD7DEE7"/>
      </x:top>
    </x:border>
    <x:border>
      <x:top style="thin">
        <x:color rgb="FFD7DEE7"/>
      </x:top>
    </x:border>
    <x:border>
      <x:right style="thin">
        <x:color rgb="FFD7DEE7"/>
      </x:right>
      <x:top style="thin">
        <x:color rgb="FFD7DEE7"/>
      </x:top>
    </x:border>
    <x:border>
      <x:left style="thin">
        <x:color rgb="FFD7DEE7"/>
      </x:left>
      <x:bottom style="thin">
        <x:color rgb="FFD7DEE7"/>
      </x:bottom>
    </x:border>
    <x:border>
      <x:bottom style="thin">
        <x:color rgb="FFD7DEE7"/>
      </x:bottom>
    </x:border>
    <x:border>
      <x:right style="thin">
        <x:color rgb="FFD7DEE7"/>
      </x:right>
      <x:bottom style="thin">
        <x:color rgb="FFD7DEE7"/>
      </x:bottom>
    </x:border>
    <x:border>
      <x:left style="thin">
        <x:color rgb="FF244A73"/>
      </x:left>
      <x:top style="thin">
        <x:color rgb="FF244A73"/>
      </x:top>
      <x:bottom style="thin">
        <x:color rgb="FF244A73"/>
      </x:bottom>
    </x:border>
    <x:border>
      <x:top style="thin">
        <x:color rgb="FF244A73"/>
      </x:top>
      <x:bottom style="thin">
        <x:color rgb="FF244A73"/>
      </x:bottom>
    </x:border>
    <x:border>
      <x:right style="thin">
        <x:color rgb="FF244A73"/>
      </x:right>
      <x:top style="thin">
        <x:color rgb="FF244A73"/>
      </x:top>
      <x:bottom style="thin">
        <x:color rgb="FF244A73"/>
      </x:bottom>
    </x:border>
    <x:border>
      <x:left style="thin">
        <x:color rgb="FF1F6D6A"/>
      </x:left>
      <x:top style="thin">
        <x:color rgb="FF1F6D6A"/>
      </x:top>
      <x:bottom style="thin">
        <x:color rgb="FF1F6D6A"/>
      </x:bottom>
    </x:border>
    <x:border>
      <x:top style="thin">
        <x:color rgb="FF1F6D6A"/>
      </x:top>
      <x:bottom style="thin">
        <x:color rgb="FF1F6D6A"/>
      </x:bottom>
    </x:border>
    <x:border>
      <x:right style="thin">
        <x:color rgb="FF1F6D6A"/>
      </x:right>
      <x:top style="thin">
        <x:color rgb="FF1F6D6A"/>
      </x:top>
      <x:bottom style="thin">
        <x:color rgb="FF1F6D6A"/>
      </x:bottom>
    </x:border>
    <x:border>
      <x:left style="thin">
        <x:color rgb="FFC69214"/>
      </x:left>
      <x:top style="thin">
        <x:color rgb="FFC69214"/>
      </x:top>
      <x:bottom style="thin">
        <x:color rgb="FFC69214"/>
      </x:bottom>
    </x:border>
    <x:border>
      <x:top style="thin">
        <x:color rgb="FFC69214"/>
      </x:top>
      <x:bottom style="thin">
        <x:color rgb="FFC69214"/>
      </x:bottom>
    </x:border>
    <x:border>
      <x:right style="thin">
        <x:color rgb="FFC69214"/>
      </x:right>
      <x:top style="thin">
        <x:color rgb="FFC69214"/>
      </x:top>
      <x:bottom style="thin">
        <x:color rgb="FFC69214"/>
      </x:bottom>
    </x:border>
    <x:border>
      <x:left style="thin">
        <x:color rgb="FFD7DEE7"/>
      </x:left>
      <x:right style="thin">
        <x:color rgb="FFD7DEE7"/>
      </x:right>
      <x:top style="thin">
        <x:color rgb="FFD7DEE7"/>
      </x:top>
      <x:bottom style="thin">
        <x:color rgb="FFD7DEE7"/>
      </x:bottom>
    </x:border>
  </x:borders>
  <x:cellStyleXfs count="1">
    <x:xf numFmtId="0" fontId="0" fillId="0" borderId="0"/>
  </x:cellStyleXfs>
  <x:cellXfs count="3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4" fillId="4" borderId="0"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200" fontId="4" fillId="4" borderId="4" xfId="0" applyNumberFormat="1" applyFont="1" applyFill="1" applyBorder="1"/>
    <x:xf numFmtId="200" fontId="4" fillId="4" borderId="5" xfId="0" applyNumberFormat="1" applyFont="1" applyFill="1" applyBorder="1"/>
    <x:xf numFmtId="200" fontId="4" fillId="4" borderId="6" xfId="0" applyNumberFormat="1" applyFont="1" applyFill="1" applyBorder="1"/>
    <x:xf numFmtId="200" fontId="4" fillId="4" borderId="7" xfId="0" applyNumberFormat="1" applyFont="1" applyFill="1" applyBorder="1"/>
    <x:xf numFmtId="200" fontId="4" fillId="4" borderId="8" xfId="0" applyNumberFormat="1" applyFont="1" applyFill="1" applyBorder="1"/>
    <x:xf numFmtId="200" fontId="4" fillId="4" borderId="9" xfId="0" applyNumberFormat="1" applyFont="1" applyFill="1" applyBorder="1"/>
    <x:xf numFmtId="200" fontId="4" fillId="4" borderId="4" xfId="0" applyNumberFormat="1" applyFont="1" applyFill="1" applyBorder="1" applyAlignment="1">
      <x:alignment horizontal="center"/>
    </x:xf>
    <x:xf numFmtId="200" fontId="4" fillId="4" borderId="5" xfId="0" applyNumberFormat="1" applyFont="1" applyFill="1" applyBorder="1" applyAlignment="1">
      <x:alignment horizontal="center"/>
    </x:xf>
    <x:xf numFmtId="200" fontId="4" fillId="4" borderId="6" xfId="0" applyNumberFormat="1" applyFont="1" applyFill="1" applyBorder="1" applyAlignment="1">
      <x:alignment horizontal="center"/>
    </x:xf>
    <x:xf numFmtId="200" fontId="4" fillId="4" borderId="7" xfId="0" applyNumberFormat="1" applyFont="1" applyFill="1" applyBorder="1" applyAlignment="1">
      <x:alignment horizontal="center"/>
    </x:xf>
    <x:xf numFmtId="200" fontId="4" fillId="4" borderId="8" xfId="0" applyNumberFormat="1" applyFont="1" applyFill="1" applyBorder="1" applyAlignment="1">
      <x:alignment horizontal="center"/>
    </x:xf>
    <x:xf numFmtId="200" fontId="4" fillId="4" borderId="9" xfId="0" applyNumberFormat="1" applyFont="1" applyFill="1" applyBorder="1" applyAlignment="1">
      <x:alignment horizontal="center"/>
    </x:xf>
    <x:xf numFmtId="200" fontId="4" fillId="4" borderId="4" xfId="0" applyNumberFormat="1" applyFont="1" applyFill="1" applyBorder="1" applyAlignment="1">
      <x:alignment horizontal="center" vertical="center"/>
    </x:xf>
    <x:xf numFmtId="200" fontId="4" fillId="4" borderId="5" xfId="0" applyNumberFormat="1" applyFont="1" applyFill="1" applyBorder="1" applyAlignment="1">
      <x:alignment horizontal="center" vertical="center"/>
    </x:xf>
    <x:xf numFmtId="200" fontId="4" fillId="4" borderId="6" xfId="0" applyNumberFormat="1" applyFont="1" applyFill="1" applyBorder="1" applyAlignment="1">
      <x:alignment horizontal="center" vertical="center"/>
    </x:xf>
    <x:xf numFmtId="200" fontId="4" fillId="4" borderId="7" xfId="0" applyNumberFormat="1" applyFont="1" applyFill="1" applyBorder="1" applyAlignment="1">
      <x:alignment horizontal="center" vertical="center"/>
    </x:xf>
    <x:xf numFmtId="200" fontId="4" fillId="4" borderId="8" xfId="0" applyNumberFormat="1" applyFont="1" applyFill="1" applyBorder="1" applyAlignment="1">
      <x:alignment horizontal="center" vertical="center"/>
    </x:xf>
    <x:xf numFmtId="200" fontId="4" fillId="4" borderId="9"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horizontal="center"/>
    </x:xf>
    <x:xf numFmtId="0" fontId="3" fillId="5" borderId="2" xfId="0" applyNumberFormat="1" applyFont="1" applyFill="1" applyBorder="1" applyAlignment="1">
      <x:alignment horizontal="center"/>
    </x:xf>
    <x:xf numFmtId="0" fontId="3" fillId="5" borderId="3"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3" fillId="5" borderId="2" xfId="0" applyNumberFormat="1" applyFont="1" applyFill="1" applyBorder="1" applyAlignment="1">
      <x:alignment horizontal="center" vertical="center"/>
    </x:xf>
    <x:xf numFmtId="0" fontId="3" fillId="5" borderId="3" xfId="0" applyNumberFormat="1" applyFont="1" applyFill="1" applyBorder="1" applyAlignment="1">
      <x:alignment horizontal="center" vertical="center"/>
    </x:xf>
    <x:xf numFmtId="0" fontId="4" fillId="5" borderId="0"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200" fontId="4" fillId="5" borderId="4" xfId="0" applyNumberFormat="1" applyFont="1" applyFill="1" applyBorder="1"/>
    <x:xf numFmtId="200" fontId="4" fillId="5" borderId="5" xfId="0" applyNumberFormat="1" applyFont="1" applyFill="1" applyBorder="1"/>
    <x:xf numFmtId="200" fontId="4" fillId="5" borderId="6" xfId="0" applyNumberFormat="1" applyFont="1" applyFill="1" applyBorder="1"/>
    <x:xf numFmtId="200" fontId="4" fillId="5" borderId="7" xfId="0" applyNumberFormat="1" applyFont="1" applyFill="1" applyBorder="1"/>
    <x:xf numFmtId="200" fontId="4" fillId="5" borderId="8" xfId="0" applyNumberFormat="1" applyFont="1" applyFill="1" applyBorder="1"/>
    <x:xf numFmtId="200" fontId="4" fillId="5" borderId="9" xfId="0" applyNumberFormat="1" applyFont="1" applyFill="1" applyBorder="1"/>
    <x:xf numFmtId="200" fontId="4" fillId="5" borderId="4" xfId="0" applyNumberFormat="1" applyFont="1" applyFill="1" applyBorder="1" applyAlignment="1">
      <x:alignment horizontal="center"/>
    </x:xf>
    <x:xf numFmtId="200" fontId="4" fillId="5" borderId="5" xfId="0" applyNumberFormat="1" applyFont="1" applyFill="1" applyBorder="1" applyAlignment="1">
      <x:alignment horizontal="center"/>
    </x:xf>
    <x:xf numFmtId="200" fontId="4" fillId="5" borderId="6" xfId="0" applyNumberFormat="1" applyFont="1" applyFill="1" applyBorder="1" applyAlignment="1">
      <x:alignment horizontal="center"/>
    </x:xf>
    <x:xf numFmtId="200" fontId="4" fillId="5" borderId="7" xfId="0" applyNumberFormat="1" applyFont="1" applyFill="1" applyBorder="1" applyAlignment="1">
      <x:alignment horizontal="center"/>
    </x:xf>
    <x:xf numFmtId="200" fontId="4" fillId="5" borderId="8" xfId="0" applyNumberFormat="1" applyFont="1" applyFill="1" applyBorder="1" applyAlignment="1">
      <x:alignment horizontal="center"/>
    </x:xf>
    <x:xf numFmtId="200" fontId="4" fillId="5" borderId="9" xfId="0" applyNumberFormat="1" applyFont="1" applyFill="1" applyBorder="1" applyAlignment="1">
      <x:alignment horizontal="center"/>
    </x:xf>
    <x:xf numFmtId="200" fontId="4" fillId="5" borderId="4" xfId="0" applyNumberFormat="1" applyFont="1" applyFill="1" applyBorder="1" applyAlignment="1">
      <x:alignment horizontal="center" vertical="center"/>
    </x:xf>
    <x:xf numFmtId="200" fontId="4" fillId="5" borderId="5" xfId="0" applyNumberFormat="1" applyFont="1" applyFill="1" applyBorder="1" applyAlignment="1">
      <x:alignment horizontal="center" vertical="center"/>
    </x:xf>
    <x:xf numFmtId="200" fontId="4" fillId="5" borderId="6" xfId="0" applyNumberFormat="1" applyFont="1" applyFill="1" applyBorder="1" applyAlignment="1">
      <x:alignment horizontal="center" vertical="center"/>
    </x:xf>
    <x:xf numFmtId="200" fontId="4" fillId="5" borderId="7" xfId="0" applyNumberFormat="1" applyFont="1" applyFill="1" applyBorder="1" applyAlignment="1">
      <x:alignment horizontal="center" vertical="center"/>
    </x:xf>
    <x:xf numFmtId="200" fontId="4" fillId="5" borderId="8" xfId="0" applyNumberFormat="1" applyFont="1" applyFill="1" applyBorder="1" applyAlignment="1">
      <x:alignment horizontal="center" vertical="center"/>
    </x:xf>
    <x:xf numFmtId="200" fontId="4" fillId="5" borderId="9"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2" xfId="0" applyNumberFormat="1" applyFont="1" applyFill="1" applyBorder="1"/>
    <x:xf numFmtId="0" fontId="3" fillId="6" borderId="3" xfId="0" applyNumberFormat="1" applyFont="1" applyFill="1" applyBorder="1"/>
    <x:xf numFmtId="0" fontId="3" fillId="6" borderId="1" xfId="0" applyNumberFormat="1" applyFont="1" applyFill="1" applyBorder="1" applyAlignment="1">
      <x:alignment horizontal="center"/>
    </x:xf>
    <x:xf numFmtId="0" fontId="3" fillId="6" borderId="2" xfId="0" applyNumberFormat="1" applyFont="1" applyFill="1" applyBorder="1" applyAlignment="1">
      <x:alignment horizontal="center"/>
    </x:xf>
    <x:xf numFmtId="0" fontId="3" fillId="6" borderId="3" xfId="0" applyNumberFormat="1" applyFont="1" applyFill="1" applyBorder="1" applyAlignment="1">
      <x:alignment horizontal="center"/>
    </x:xf>
    <x:xf numFmtId="0" fontId="3" fillId="6" borderId="1" xfId="0" applyNumberFormat="1" applyFont="1" applyFill="1" applyBorder="1" applyAlignment="1">
      <x:alignment horizontal="center" vertical="center"/>
    </x:xf>
    <x:xf numFmtId="0" fontId="3" fillId="6" borderId="2" xfId="0" applyNumberFormat="1" applyFont="1" applyFill="1" applyBorder="1" applyAlignment="1">
      <x:alignment horizontal="center" vertical="center"/>
    </x:xf>
    <x:xf numFmtId="0" fontId="3" fillId="6" borderId="3" xfId="0" applyNumberFormat="1" applyFont="1" applyFill="1" applyBorder="1" applyAlignment="1">
      <x:alignment horizontal="center" vertical="center"/>
    </x:xf>
    <x:xf numFmtId="0" fontId="4" fillId="6" borderId="0" xfId="0" applyNumberFormat="1" applyFont="1" applyFill="1" applyBorder="1"/>
    <x:xf numFmtId="0" fontId="4" fillId="6" borderId="4"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9" xfId="0" applyNumberFormat="1" applyFont="1" applyFill="1" applyBorder="1"/>
    <x:xf numFmtId="200" fontId="4" fillId="6" borderId="4" xfId="0" applyNumberFormat="1" applyFont="1" applyFill="1" applyBorder="1"/>
    <x:xf numFmtId="200" fontId="4" fillId="6" borderId="5" xfId="0" applyNumberFormat="1" applyFont="1" applyFill="1" applyBorder="1"/>
    <x:xf numFmtId="200" fontId="4" fillId="6" borderId="6" xfId="0" applyNumberFormat="1" applyFont="1" applyFill="1" applyBorder="1"/>
    <x:xf numFmtId="200" fontId="4" fillId="6" borderId="7" xfId="0" applyNumberFormat="1" applyFont="1" applyFill="1" applyBorder="1"/>
    <x:xf numFmtId="200" fontId="4" fillId="6" borderId="8" xfId="0" applyNumberFormat="1" applyFont="1" applyFill="1" applyBorder="1"/>
    <x:xf numFmtId="200" fontId="4" fillId="6" borderId="9" xfId="0" applyNumberFormat="1" applyFont="1" applyFill="1" applyBorder="1"/>
    <x:xf numFmtId="200" fontId="4" fillId="6" borderId="4" xfId="0" applyNumberFormat="1" applyFont="1" applyFill="1" applyBorder="1" applyAlignment="1">
      <x:alignment horizontal="center"/>
    </x:xf>
    <x:xf numFmtId="200" fontId="4" fillId="6" borderId="5" xfId="0" applyNumberFormat="1" applyFont="1" applyFill="1" applyBorder="1" applyAlignment="1">
      <x:alignment horizontal="center"/>
    </x:xf>
    <x:xf numFmtId="200" fontId="4" fillId="6" borderId="6" xfId="0" applyNumberFormat="1" applyFont="1" applyFill="1" applyBorder="1" applyAlignment="1">
      <x:alignment horizontal="center"/>
    </x:xf>
    <x:xf numFmtId="200" fontId="4" fillId="6" borderId="7" xfId="0" applyNumberFormat="1" applyFont="1" applyFill="1" applyBorder="1" applyAlignment="1">
      <x:alignment horizontal="center"/>
    </x:xf>
    <x:xf numFmtId="200" fontId="4" fillId="6" borderId="8" xfId="0" applyNumberFormat="1" applyFont="1" applyFill="1" applyBorder="1" applyAlignment="1">
      <x:alignment horizontal="center"/>
    </x:xf>
    <x:xf numFmtId="200" fontId="4" fillId="6" borderId="9" xfId="0" applyNumberFormat="1" applyFont="1" applyFill="1" applyBorder="1" applyAlignment="1">
      <x:alignment horizontal="center"/>
    </x:xf>
    <x:xf numFmtId="200" fontId="4" fillId="6" borderId="4" xfId="0" applyNumberFormat="1" applyFont="1" applyFill="1" applyBorder="1" applyAlignment="1">
      <x:alignment horizontal="center" vertical="center"/>
    </x:xf>
    <x:xf numFmtId="200" fontId="4" fillId="6" borderId="5" xfId="0" applyNumberFormat="1" applyFont="1" applyFill="1" applyBorder="1" applyAlignment="1">
      <x:alignment horizontal="center" vertical="center"/>
    </x:xf>
    <x:xf numFmtId="200" fontId="4" fillId="6" borderId="6" xfId="0" applyNumberFormat="1" applyFont="1" applyFill="1" applyBorder="1" applyAlignment="1">
      <x:alignment horizontal="center" vertical="center"/>
    </x:xf>
    <x:xf numFmtId="200" fontId="4" fillId="6" borderId="7" xfId="0" applyNumberFormat="1" applyFont="1" applyFill="1" applyBorder="1" applyAlignment="1">
      <x:alignment horizontal="center" vertical="center"/>
    </x:xf>
    <x:xf numFmtId="200" fontId="4" fillId="6" borderId="8" xfId="0" applyNumberFormat="1" applyFont="1" applyFill="1" applyBorder="1" applyAlignment="1">
      <x:alignment horizontal="center" vertical="center"/>
    </x:xf>
    <x:xf numFmtId="200" fontId="4" fillId="6" borderId="9"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2" xfId="0" applyNumberFormat="1" applyFont="1" applyFill="1" applyBorder="1"/>
    <x:xf numFmtId="0" fontId="3" fillId="7" borderId="3" xfId="0" applyNumberFormat="1" applyFont="1" applyFill="1" applyBorder="1"/>
    <x:xf numFmtId="0" fontId="3" fillId="7" borderId="1" xfId="0" applyNumberFormat="1" applyFont="1" applyFill="1" applyBorder="1" applyAlignment="1">
      <x:alignment horizontal="center"/>
    </x:xf>
    <x:xf numFmtId="0" fontId="3" fillId="7" borderId="2" xfId="0" applyNumberFormat="1" applyFont="1" applyFill="1" applyBorder="1" applyAlignment="1">
      <x:alignment horizontal="center"/>
    </x:xf>
    <x:xf numFmtId="0" fontId="3" fillId="7" borderId="3" xfId="0" applyNumberFormat="1" applyFont="1" applyFill="1" applyBorder="1" applyAlignment="1">
      <x:alignment horizontal="center"/>
    </x:xf>
    <x:xf numFmtId="0" fontId="3" fillId="7" borderId="1" xfId="0" applyNumberFormat="1" applyFont="1" applyFill="1" applyBorder="1" applyAlignment="1">
      <x:alignment horizontal="center" vertical="center"/>
    </x:xf>
    <x:xf numFmtId="0" fontId="3" fillId="7" borderId="2" xfId="0" applyNumberFormat="1" applyFont="1" applyFill="1" applyBorder="1" applyAlignment="1">
      <x:alignment horizontal="center" vertical="center"/>
    </x:xf>
    <x:xf numFmtId="0" fontId="3" fillId="7" borderId="3" xfId="0" applyNumberFormat="1" applyFont="1" applyFill="1" applyBorder="1" applyAlignment="1">
      <x:alignment horizontal="center" vertical="center"/>
    </x:xf>
    <x:xf numFmtId="0" fontId="4" fillId="7" borderId="0" xfId="0" applyNumberFormat="1" applyFont="1" applyFill="1" applyBorder="1"/>
    <x:xf numFmtId="0" fontId="4" fillId="7" borderId="4" xfId="0" applyNumberFormat="1" applyFont="1" applyFill="1" applyBorder="1"/>
    <x:xf numFmtId="0" fontId="4" fillId="7" borderId="5" xfId="0" applyNumberFormat="1" applyFont="1" applyFill="1" applyBorder="1"/>
    <x:xf numFmtId="0" fontId="4" fillId="7" borderId="6" xfId="0" applyNumberFormat="1" applyFont="1" applyFill="1" applyBorder="1"/>
    <x:xf numFmtId="0" fontId="4" fillId="7" borderId="7" xfId="0" applyNumberFormat="1" applyFont="1" applyFill="1" applyBorder="1"/>
    <x:xf numFmtId="0" fontId="4" fillId="7" borderId="8" xfId="0" applyNumberFormat="1" applyFont="1" applyFill="1" applyBorder="1"/>
    <x:xf numFmtId="0" fontId="4" fillId="7" borderId="9" xfId="0" applyNumberFormat="1" applyFont="1" applyFill="1" applyBorder="1"/>
    <x:xf numFmtId="200" fontId="4" fillId="7" borderId="4" xfId="0" applyNumberFormat="1" applyFont="1" applyFill="1" applyBorder="1"/>
    <x:xf numFmtId="200" fontId="4" fillId="7" borderId="5" xfId="0" applyNumberFormat="1" applyFont="1" applyFill="1" applyBorder="1"/>
    <x:xf numFmtId="200" fontId="4" fillId="7" borderId="6" xfId="0" applyNumberFormat="1" applyFont="1" applyFill="1" applyBorder="1"/>
    <x:xf numFmtId="200" fontId="4" fillId="7" borderId="7" xfId="0" applyNumberFormat="1" applyFont="1" applyFill="1" applyBorder="1"/>
    <x:xf numFmtId="200" fontId="4" fillId="7" borderId="8" xfId="0" applyNumberFormat="1" applyFont="1" applyFill="1" applyBorder="1"/>
    <x:xf numFmtId="200" fontId="4" fillId="7" borderId="9" xfId="0" applyNumberFormat="1" applyFont="1" applyFill="1" applyBorder="1"/>
    <x:xf numFmtId="200" fontId="4" fillId="7" borderId="4" xfId="0" applyNumberFormat="1" applyFont="1" applyFill="1" applyBorder="1" applyAlignment="1">
      <x:alignment horizontal="center"/>
    </x:xf>
    <x:xf numFmtId="200" fontId="4" fillId="7" borderId="5" xfId="0" applyNumberFormat="1" applyFont="1" applyFill="1" applyBorder="1" applyAlignment="1">
      <x:alignment horizontal="center"/>
    </x:xf>
    <x:xf numFmtId="200" fontId="4" fillId="7" borderId="6" xfId="0" applyNumberFormat="1" applyFont="1" applyFill="1" applyBorder="1" applyAlignment="1">
      <x:alignment horizontal="center"/>
    </x:xf>
    <x:xf numFmtId="200" fontId="4" fillId="7" borderId="7" xfId="0" applyNumberFormat="1" applyFont="1" applyFill="1" applyBorder="1" applyAlignment="1">
      <x:alignment horizontal="center"/>
    </x:xf>
    <x:xf numFmtId="200" fontId="4" fillId="7" borderId="8" xfId="0" applyNumberFormat="1" applyFont="1" applyFill="1" applyBorder="1" applyAlignment="1">
      <x:alignment horizontal="center"/>
    </x:xf>
    <x:xf numFmtId="200" fontId="4" fillId="7" borderId="9" xfId="0" applyNumberFormat="1" applyFont="1" applyFill="1" applyBorder="1" applyAlignment="1">
      <x:alignment horizontal="center"/>
    </x:xf>
    <x:xf numFmtId="200" fontId="4" fillId="7" borderId="4" xfId="0" applyNumberFormat="1" applyFont="1" applyFill="1" applyBorder="1" applyAlignment="1">
      <x:alignment horizontal="center" vertical="center"/>
    </x:xf>
    <x:xf numFmtId="200" fontId="4" fillId="7" borderId="5" xfId="0" applyNumberFormat="1" applyFont="1" applyFill="1" applyBorder="1" applyAlignment="1">
      <x:alignment horizontal="center" vertical="center"/>
    </x:xf>
    <x:xf numFmtId="200" fontId="4" fillId="7" borderId="6" xfId="0" applyNumberFormat="1" applyFont="1" applyFill="1" applyBorder="1" applyAlignment="1">
      <x:alignment horizontal="center" vertical="center"/>
    </x:xf>
    <x:xf numFmtId="200" fontId="4" fillId="7" borderId="7" xfId="0" applyNumberFormat="1" applyFont="1" applyFill="1" applyBorder="1" applyAlignment="1">
      <x:alignment horizontal="center" vertical="center"/>
    </x:xf>
    <x:xf numFmtId="200" fontId="4" fillId="7" borderId="8" xfId="0" applyNumberFormat="1" applyFont="1" applyFill="1" applyBorder="1" applyAlignment="1">
      <x:alignment horizontal="center" vertical="center"/>
    </x:xf>
    <x:xf numFmtId="200" fontId="4" fillId="7" borderId="9"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5" fillId="8" borderId="10" xfId="0" applyNumberFormat="1" applyFont="1" applyFill="1" applyBorder="1"/>
    <x:xf numFmtId="0" fontId="5" fillId="8" borderId="11" xfId="0" applyNumberFormat="1" applyFont="1" applyFill="1" applyBorder="1"/>
    <x:xf numFmtId="0" fontId="5" fillId="8" borderId="12"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6" fillId="4" borderId="3" xfId="0" applyNumberFormat="1" applyFont="1" applyFill="1" applyBorder="1"/>
    <x:xf numFmtId="0" fontId="6" fillId="4" borderId="1"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1"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7" fillId="4" borderId="0" xfId="0" applyNumberFormat="1" applyFont="1" applyFill="1" applyBorder="1"/>
    <x:xf numFmtId="0" fontId="7" fillId="4" borderId="1" xfId="0" applyNumberFormat="1" applyFont="1" applyFill="1" applyBorder="1"/>
    <x:xf numFmtId="0" fontId="7" fillId="4" borderId="2" xfId="0" applyNumberFormat="1" applyFont="1" applyFill="1" applyBorder="1"/>
    <x:xf numFmtId="0" fontId="7" fillId="4" borderId="3" xfId="0" applyNumberFormat="1" applyFont="1" applyFill="1" applyBorder="1"/>
    <x:xf numFmtId="0" fontId="7" fillId="4" borderId="1" xfId="0" applyNumberFormat="1" applyFont="1" applyFill="1" applyBorder="1" applyAlignment="1">
      <x:alignment wrapText="1"/>
    </x:xf>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1" xfId="0" applyNumberFormat="1" applyFont="1" applyFill="1" applyBorder="1" applyAlignment="1">
      <x:alignment vertical="top" wrapText="1"/>
    </x:xf>
    <x:xf numFmtId="0" fontId="7" fillId="4" borderId="2"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3" borderId="3" xfId="0" applyNumberFormat="1" applyFont="1" applyFill="1" applyBorder="1"/>
    <x:xf numFmtId="0" fontId="6" fillId="3" borderId="1" xfId="0" applyNumberFormat="1" applyFont="1" applyFill="1" applyBorder="1" applyAlignment="1">
      <x:alignment wrapText="1"/>
    </x:xf>
    <x:xf numFmtId="0" fontId="6" fillId="3" borderId="3" xfId="0" applyNumberFormat="1" applyFont="1" applyFill="1" applyBorder="1" applyAlignment="1">
      <x:alignment wrapText="1"/>
    </x:xf>
    <x:xf numFmtId="0" fontId="6" fillId="3" borderId="1" xfId="0" applyNumberFormat="1" applyFont="1" applyFill="1" applyBorder="1" applyAlignment="1">
      <x:alignment vertical="top" wrapText="1"/>
    </x:xf>
    <x:xf numFmtId="0" fontId="6" fillId="3" borderId="3" xfId="0" applyNumberFormat="1" applyFont="1" applyFill="1" applyBorder="1" applyAlignment="1">
      <x:alignment vertical="top" wrapText="1"/>
    </x:xf>
    <x:xf numFmtId="0" fontId="7" fillId="3" borderId="0" xfId="0" applyNumberFormat="1" applyFont="1" applyFill="1" applyBorder="1"/>
    <x:xf numFmtId="0" fontId="7" fillId="3" borderId="1" xfId="0" applyNumberFormat="1" applyFont="1" applyFill="1" applyBorder="1"/>
    <x:xf numFmtId="0" fontId="7" fillId="3" borderId="2" xfId="0" applyNumberFormat="1" applyFont="1" applyFill="1" applyBorder="1"/>
    <x:xf numFmtId="0" fontId="7" fillId="3" borderId="3" xfId="0" applyNumberFormat="1" applyFont="1" applyFill="1" applyBorder="1"/>
    <x:xf numFmtId="0" fontId="7" fillId="3" borderId="1" xfId="0" applyNumberFormat="1" applyFont="1" applyFill="1" applyBorder="1" applyAlignment="1">
      <x:alignment wrapText="1"/>
    </x:xf>
    <x:xf numFmtId="0" fontId="7" fillId="3" borderId="2" xfId="0" applyNumberFormat="1" applyFont="1" applyFill="1" applyBorder="1" applyAlignment="1">
      <x:alignment wrapText="1"/>
    </x:xf>
    <x:xf numFmtId="0" fontId="7" fillId="3" borderId="3" xfId="0" applyNumberFormat="1" applyFont="1" applyFill="1" applyBorder="1" applyAlignment="1">
      <x:alignment wrapText="1"/>
    </x:xf>
    <x:xf numFmtId="0" fontId="7" fillId="3" borderId="1" xfId="0" applyNumberFormat="1" applyFont="1" applyFill="1" applyBorder="1" applyAlignment="1">
      <x:alignment vertical="top" wrapText="1"/>
    </x:xf>
    <x:xf numFmtId="0" fontId="7" fillId="3" borderId="2" xfId="0" applyNumberFormat="1" applyFont="1" applyFill="1" applyBorder="1" applyAlignment="1">
      <x:alignment vertical="top" wrapText="1"/>
    </x:xf>
    <x:xf numFmtId="0" fontId="7" fillId="3" borderId="3" xfId="0" applyNumberFormat="1" applyFont="1" applyFill="1" applyBorder="1" applyAlignment="1">
      <x:alignment vertical="top" wrapText="1"/>
    </x:xf>
    <x:xf numFmtId="0" fontId="0" fillId="9" borderId="0" xfId="0" applyNumberFormat="1" applyFont="1" applyFill="1" applyBorder="1"/>
    <x:xf numFmtId="0" fontId="5" fillId="9" borderId="0" xfId="0" applyNumberFormat="1" applyFont="1" applyFill="1" applyBorder="1"/>
    <x:xf numFmtId="0" fontId="5" fillId="9" borderId="13" xfId="0" applyNumberFormat="1" applyFont="1" applyFill="1" applyBorder="1"/>
    <x:xf numFmtId="0" fontId="5" fillId="9" borderId="14" xfId="0" applyNumberFormat="1" applyFont="1" applyFill="1" applyBorder="1"/>
    <x:xf numFmtId="0" fontId="5" fillId="9" borderId="15" xfId="0" applyNumberFormat="1" applyFont="1" applyFill="1" applyBorder="1"/>
    <x:xf numFmtId="0" fontId="8" fillId="5" borderId="0" xfId="0" applyNumberFormat="1" applyFont="1" applyFill="1" applyBorder="1"/>
    <x:xf numFmtId="0" fontId="8" fillId="5" borderId="1" xfId="0" applyNumberFormat="1" applyFont="1" applyFill="1" applyBorder="1"/>
    <x:xf numFmtId="0" fontId="8" fillId="5" borderId="3" xfId="0" applyNumberFormat="1" applyFont="1" applyFill="1" applyBorder="1"/>
    <x:xf numFmtId="0" fontId="0" fillId="10" borderId="0" xfId="0" applyNumberFormat="1" applyFont="1" applyFill="1" applyBorder="1"/>
    <x:xf numFmtId="0" fontId="7" fillId="10" borderId="0" xfId="0" applyNumberFormat="1" applyFont="1" applyFill="1" applyBorder="1"/>
    <x:xf numFmtId="0" fontId="7" fillId="10" borderId="1" xfId="0" applyNumberFormat="1" applyFont="1" applyFill="1" applyBorder="1"/>
    <x:xf numFmtId="0" fontId="7" fillId="10" borderId="2" xfId="0" applyNumberFormat="1" applyFont="1" applyFill="1" applyBorder="1"/>
    <x:xf numFmtId="0" fontId="7" fillId="10" borderId="3" xfId="0" applyNumberFormat="1" applyFont="1" applyFill="1" applyBorder="1"/>
    <x:xf numFmtId="0" fontId="7" fillId="10" borderId="1" xfId="0" applyNumberFormat="1" applyFont="1" applyFill="1" applyBorder="1" applyAlignment="1">
      <x:alignment wrapText="1"/>
    </x:xf>
    <x:xf numFmtId="0" fontId="7" fillId="10" borderId="2" xfId="0" applyNumberFormat="1" applyFont="1" applyFill="1" applyBorder="1" applyAlignment="1">
      <x:alignment wrapText="1"/>
    </x:xf>
    <x:xf numFmtId="0" fontId="7" fillId="10" borderId="3" xfId="0" applyNumberFormat="1" applyFont="1" applyFill="1" applyBorder="1" applyAlignment="1">
      <x:alignment wrapText="1"/>
    </x:xf>
    <x:xf numFmtId="0" fontId="0" fillId="11" borderId="0" xfId="0" applyNumberFormat="1" applyFont="1" applyFill="1" applyBorder="1"/>
    <x:xf numFmtId="0" fontId="5" fillId="11" borderId="0" xfId="0" applyNumberFormat="1" applyFont="1" applyFill="1" applyBorder="1"/>
    <x:xf numFmtId="0" fontId="5" fillId="11" borderId="16" xfId="0" applyNumberFormat="1" applyFont="1" applyFill="1" applyBorder="1"/>
    <x:xf numFmtId="0" fontId="5" fillId="11" borderId="17" xfId="0" applyNumberFormat="1" applyFont="1" applyFill="1" applyBorder="1"/>
    <x:xf numFmtId="0" fontId="5" fillId="11" borderId="18" xfId="0" applyNumberFormat="1" applyFont="1" applyFill="1" applyBorder="1"/>
    <x:xf numFmtId="0" fontId="9" fillId="7" borderId="0" xfId="0" applyNumberFormat="1" applyFont="1" applyFill="1" applyBorder="1"/>
    <x:xf numFmtId="0" fontId="9" fillId="7" borderId="19" xfId="0" applyNumberFormat="1" applyFont="1" applyFill="1" applyBorder="1"/>
    <x:xf numFmtId="0" fontId="9" fillId="7" borderId="19" xfId="0" applyNumberFormat="1" applyFont="1" applyFill="1" applyBorder="1" applyAlignment="1">
      <x:alignment horizontal="center"/>
    </x:xf>
    <x:xf numFmtId="0" fontId="10" fillId="2" borderId="0" xfId="0" applyNumberFormat="1" applyFont="1" applyFill="1" applyBorder="1" applyAlignment="1">
      <x:alignment vertical="center"/>
    </x:xf>
    <x:xf numFmtId="0" fontId="11" fillId="0" borderId="0" xfId="0" applyNumberFormat="1" applyFont="1" applyFill="1" applyBorder="1"/>
    <x:xf numFmtId="0" fontId="12" fillId="4" borderId="1" xfId="0" applyNumberFormat="1" applyFont="1" applyFill="1" applyBorder="1" applyAlignment="1">
      <x:alignment horizontal="center" vertical="center"/>
    </x:xf>
    <x:xf numFmtId="0" fontId="12" fillId="4" borderId="2" xfId="0" applyNumberFormat="1" applyFont="1" applyFill="1" applyBorder="1" applyAlignment="1">
      <x:alignment horizontal="center" vertical="center"/>
    </x:xf>
    <x:xf numFmtId="0" fontId="12" fillId="4" borderId="3" xfId="0" applyNumberFormat="1" applyFont="1" applyFill="1" applyBorder="1" applyAlignment="1">
      <x:alignment horizontal="center" vertical="center"/>
    </x:xf>
    <x:xf numFmtId="0" fontId="12" fillId="5" borderId="1" xfId="0" applyNumberFormat="1" applyFont="1" applyFill="1" applyBorder="1" applyAlignment="1">
      <x:alignment horizontal="center" vertical="center"/>
    </x:xf>
    <x:xf numFmtId="0" fontId="12" fillId="5" borderId="2" xfId="0" applyNumberFormat="1" applyFont="1" applyFill="1" applyBorder="1" applyAlignment="1">
      <x:alignment horizontal="center" vertical="center"/>
    </x:xf>
    <x:xf numFmtId="0" fontId="12" fillId="5" borderId="3" xfId="0" applyNumberFormat="1" applyFont="1" applyFill="1" applyBorder="1" applyAlignment="1">
      <x:alignment horizontal="center" vertical="center"/>
    </x:xf>
    <x:xf numFmtId="0" fontId="12" fillId="6" borderId="1" xfId="0" applyNumberFormat="1" applyFont="1" applyFill="1" applyBorder="1" applyAlignment="1">
      <x:alignment horizontal="center" vertical="center"/>
    </x:xf>
    <x:xf numFmtId="0" fontId="12" fillId="6" borderId="2" xfId="0" applyNumberFormat="1" applyFont="1" applyFill="1" applyBorder="1" applyAlignment="1">
      <x:alignment horizontal="center" vertical="center"/>
    </x:xf>
    <x:xf numFmtId="0" fontId="12" fillId="6" borderId="3" xfId="0" applyNumberFormat="1" applyFont="1" applyFill="1" applyBorder="1" applyAlignment="1">
      <x:alignment horizontal="center" vertical="center"/>
    </x:xf>
    <x:xf numFmtId="0" fontId="12" fillId="7" borderId="1" xfId="0" applyNumberFormat="1" applyFont="1" applyFill="1" applyBorder="1" applyAlignment="1">
      <x:alignment horizontal="center" vertical="center"/>
    </x:xf>
    <x:xf numFmtId="0" fontId="12" fillId="7" borderId="2" xfId="0" applyNumberFormat="1" applyFont="1" applyFill="1" applyBorder="1" applyAlignment="1">
      <x:alignment horizontal="center" vertical="center"/>
    </x:xf>
    <x:xf numFmtId="0" fontId="12" fillId="7" borderId="3" xfId="0" applyNumberFormat="1" applyFont="1" applyFill="1" applyBorder="1" applyAlignment="1">
      <x:alignment horizontal="center" vertical="center"/>
    </x:xf>
    <x:xf numFmtId="200" fontId="13" fillId="4" borderId="4" xfId="0" applyNumberFormat="1" applyFont="1" applyFill="1" applyBorder="1" applyAlignment="1">
      <x:alignment horizontal="center" vertical="center"/>
    </x:xf>
    <x:xf numFmtId="200" fontId="13" fillId="4" borderId="5" xfId="0" applyNumberFormat="1" applyFont="1" applyFill="1" applyBorder="1" applyAlignment="1">
      <x:alignment horizontal="center" vertical="center"/>
    </x:xf>
    <x:xf numFmtId="200" fontId="13" fillId="4" borderId="6" xfId="0" applyNumberFormat="1" applyFont="1" applyFill="1" applyBorder="1" applyAlignment="1">
      <x:alignment horizontal="center" vertical="center"/>
    </x:xf>
    <x:xf numFmtId="200" fontId="13" fillId="5" borderId="4" xfId="0" applyNumberFormat="1" applyFont="1" applyFill="1" applyBorder="1" applyAlignment="1">
      <x:alignment horizontal="center" vertical="center"/>
    </x:xf>
    <x:xf numFmtId="200" fontId="13" fillId="5" borderId="5" xfId="0" applyNumberFormat="1" applyFont="1" applyFill="1" applyBorder="1" applyAlignment="1">
      <x:alignment horizontal="center" vertical="center"/>
    </x:xf>
    <x:xf numFmtId="200" fontId="13" fillId="5" borderId="6" xfId="0" applyNumberFormat="1" applyFont="1" applyFill="1" applyBorder="1" applyAlignment="1">
      <x:alignment horizontal="center" vertical="center"/>
    </x:xf>
    <x:xf numFmtId="200" fontId="13" fillId="6" borderId="4" xfId="0" applyNumberFormat="1" applyFont="1" applyFill="1" applyBorder="1" applyAlignment="1">
      <x:alignment horizontal="center" vertical="center"/>
    </x:xf>
    <x:xf numFmtId="200" fontId="13" fillId="6" borderId="5" xfId="0" applyNumberFormat="1" applyFont="1" applyFill="1" applyBorder="1" applyAlignment="1">
      <x:alignment horizontal="center" vertical="center"/>
    </x:xf>
    <x:xf numFmtId="200" fontId="13" fillId="6" borderId="6" xfId="0" applyNumberFormat="1" applyFont="1" applyFill="1" applyBorder="1" applyAlignment="1">
      <x:alignment horizontal="center" vertical="center"/>
    </x:xf>
    <x:xf numFmtId="200" fontId="13" fillId="7" borderId="4" xfId="0" applyNumberFormat="1" applyFont="1" applyFill="1" applyBorder="1" applyAlignment="1">
      <x:alignment horizontal="center" vertical="center"/>
    </x:xf>
    <x:xf numFmtId="200" fontId="13" fillId="7" borderId="5" xfId="0" applyNumberFormat="1" applyFont="1" applyFill="1" applyBorder="1" applyAlignment="1">
      <x:alignment horizontal="center" vertical="center"/>
    </x:xf>
    <x:xf numFmtId="200" fontId="13" fillId="7" borderId="6" xfId="0" applyNumberFormat="1" applyFont="1" applyFill="1" applyBorder="1" applyAlignment="1">
      <x:alignment horizontal="center" vertical="center"/>
    </x:xf>
    <x:xf numFmtId="200" fontId="13" fillId="4" borderId="7" xfId="0" applyNumberFormat="1" applyFont="1" applyFill="1" applyBorder="1" applyAlignment="1">
      <x:alignment horizontal="center" vertical="center"/>
    </x:xf>
    <x:xf numFmtId="200" fontId="13" fillId="4" borderId="8" xfId="0" applyNumberFormat="1" applyFont="1" applyFill="1" applyBorder="1" applyAlignment="1">
      <x:alignment horizontal="center" vertical="center"/>
    </x:xf>
    <x:xf numFmtId="200" fontId="13" fillId="4" borderId="9" xfId="0" applyNumberFormat="1" applyFont="1" applyFill="1" applyBorder="1" applyAlignment="1">
      <x:alignment horizontal="center" vertical="center"/>
    </x:xf>
    <x:xf numFmtId="200" fontId="13" fillId="5" borderId="7" xfId="0" applyNumberFormat="1" applyFont="1" applyFill="1" applyBorder="1" applyAlignment="1">
      <x:alignment horizontal="center" vertical="center"/>
    </x:xf>
    <x:xf numFmtId="200" fontId="13" fillId="5" borderId="8" xfId="0" applyNumberFormat="1" applyFont="1" applyFill="1" applyBorder="1" applyAlignment="1">
      <x:alignment horizontal="center" vertical="center"/>
    </x:xf>
    <x:xf numFmtId="200" fontId="13" fillId="5" borderId="9" xfId="0" applyNumberFormat="1" applyFont="1" applyFill="1" applyBorder="1" applyAlignment="1">
      <x:alignment horizontal="center" vertical="center"/>
    </x:xf>
    <x:xf numFmtId="200" fontId="13" fillId="6" borderId="7" xfId="0" applyNumberFormat="1" applyFont="1" applyFill="1" applyBorder="1" applyAlignment="1">
      <x:alignment horizontal="center" vertical="center"/>
    </x:xf>
    <x:xf numFmtId="200" fontId="13" fillId="6" borderId="8" xfId="0" applyNumberFormat="1" applyFont="1" applyFill="1" applyBorder="1" applyAlignment="1">
      <x:alignment horizontal="center" vertical="center"/>
    </x:xf>
    <x:xf numFmtId="200" fontId="13" fillId="6" borderId="9" xfId="0" applyNumberFormat="1" applyFont="1" applyFill="1" applyBorder="1" applyAlignment="1">
      <x:alignment horizontal="center" vertical="center"/>
    </x:xf>
    <x:xf numFmtId="200" fontId="13" fillId="7" borderId="7" xfId="0" applyNumberFormat="1" applyFont="1" applyFill="1" applyBorder="1" applyAlignment="1">
      <x:alignment horizontal="center" vertical="center"/>
    </x:xf>
    <x:xf numFmtId="200" fontId="13" fillId="7" borderId="8" xfId="0" applyNumberFormat="1" applyFont="1" applyFill="1" applyBorder="1" applyAlignment="1">
      <x:alignment horizontal="center" vertical="center"/>
    </x:xf>
    <x:xf numFmtId="200" fontId="13" fillId="7" borderId="9" xfId="0" applyNumberFormat="1" applyFont="1" applyFill="1" applyBorder="1" applyAlignment="1">
      <x:alignment horizontal="center" vertical="center"/>
    </x:xf>
    <x:xf numFmtId="0" fontId="14" fillId="8" borderId="10" xfId="0" applyNumberFormat="1" applyFont="1" applyFill="1" applyBorder="1"/>
    <x:xf numFmtId="0" fontId="14" fillId="8" borderId="11" xfId="0" applyNumberFormat="1" applyFont="1" applyFill="1" applyBorder="1"/>
    <x:xf numFmtId="0" fontId="14" fillId="8" borderId="12" xfId="0" applyNumberFormat="1" applyFont="1" applyFill="1" applyBorder="1"/>
    <x:xf numFmtId="0" fontId="15" fillId="4" borderId="1" xfId="0" applyNumberFormat="1" applyFont="1" applyFill="1" applyBorder="1" applyAlignment="1">
      <x:alignment vertical="top" wrapText="1"/>
    </x:xf>
    <x:xf numFmtId="0" fontId="15" fillId="4" borderId="3" xfId="0" applyNumberFormat="1" applyFont="1" applyFill="1" applyBorder="1" applyAlignment="1">
      <x:alignment vertical="top" wrapText="1"/>
    </x:xf>
    <x:xf numFmtId="0" fontId="16" fillId="4" borderId="1" xfId="0" applyNumberFormat="1" applyFont="1" applyFill="1" applyBorder="1" applyAlignment="1">
      <x:alignment vertical="top" wrapText="1"/>
    </x:xf>
    <x:xf numFmtId="0" fontId="16" fillId="4" borderId="2" xfId="0" applyNumberFormat="1" applyFont="1" applyFill="1" applyBorder="1" applyAlignment="1">
      <x:alignment vertical="top" wrapText="1"/>
    </x:xf>
    <x:xf numFmtId="0" fontId="16" fillId="4" borderId="3" xfId="0" applyNumberFormat="1" applyFont="1" applyFill="1" applyBorder="1" applyAlignment="1">
      <x:alignment vertical="top" wrapText="1"/>
    </x:xf>
    <x:xf numFmtId="0" fontId="15" fillId="3" borderId="1" xfId="0" applyNumberFormat="1" applyFont="1" applyFill="1" applyBorder="1" applyAlignment="1">
      <x:alignment vertical="top" wrapText="1"/>
    </x:xf>
    <x:xf numFmtId="0" fontId="15" fillId="3" borderId="3" xfId="0" applyNumberFormat="1" applyFont="1" applyFill="1" applyBorder="1" applyAlignment="1">
      <x:alignment vertical="top" wrapText="1"/>
    </x:xf>
    <x:xf numFmtId="0" fontId="16" fillId="3" borderId="1" xfId="0" applyNumberFormat="1" applyFont="1" applyFill="1" applyBorder="1" applyAlignment="1">
      <x:alignment vertical="top" wrapText="1"/>
    </x:xf>
    <x:xf numFmtId="0" fontId="16" fillId="3" borderId="2" xfId="0" applyNumberFormat="1" applyFont="1" applyFill="1" applyBorder="1" applyAlignment="1">
      <x:alignment vertical="top" wrapText="1"/>
    </x:xf>
    <x:xf numFmtId="0" fontId="16" fillId="3" borderId="3" xfId="0" applyNumberFormat="1" applyFont="1" applyFill="1" applyBorder="1" applyAlignment="1">
      <x:alignment vertical="top" wrapText="1"/>
    </x:xf>
    <x:xf numFmtId="0" fontId="14" fillId="9" borderId="13" xfId="0" applyNumberFormat="1" applyFont="1" applyFill="1" applyBorder="1"/>
    <x:xf numFmtId="0" fontId="14" fillId="9" borderId="14" xfId="0" applyNumberFormat="1" applyFont="1" applyFill="1" applyBorder="1"/>
    <x:xf numFmtId="0" fontId="14" fillId="9" borderId="15" xfId="0" applyNumberFormat="1" applyFont="1" applyFill="1" applyBorder="1"/>
    <x:xf numFmtId="0" fontId="17" fillId="5" borderId="1" xfId="0" applyNumberFormat="1" applyFont="1" applyFill="1" applyBorder="1"/>
    <x:xf numFmtId="0" fontId="17" fillId="5" borderId="3" xfId="0" applyNumberFormat="1" applyFont="1" applyFill="1" applyBorder="1"/>
    <x:xf numFmtId="0" fontId="16" fillId="10" borderId="1" xfId="0" applyNumberFormat="1" applyFont="1" applyFill="1" applyBorder="1" applyAlignment="1">
      <x:alignment wrapText="1"/>
    </x:xf>
    <x:xf numFmtId="0" fontId="16" fillId="10" borderId="2" xfId="0" applyNumberFormat="1" applyFont="1" applyFill="1" applyBorder="1" applyAlignment="1">
      <x:alignment wrapText="1"/>
    </x:xf>
    <x:xf numFmtId="0" fontId="16" fillId="10" borderId="3" xfId="0" applyNumberFormat="1" applyFont="1" applyFill="1" applyBorder="1" applyAlignment="1">
      <x:alignment wrapText="1"/>
    </x:xf>
    <x:xf numFmtId="0" fontId="14" fillId="11" borderId="16" xfId="0" applyNumberFormat="1" applyFont="1" applyFill="1" applyBorder="1"/>
    <x:xf numFmtId="0" fontId="14" fillId="11" borderId="17" xfId="0" applyNumberFormat="1" applyFont="1" applyFill="1" applyBorder="1"/>
    <x:xf numFmtId="0" fontId="14" fillId="11" borderId="18" xfId="0" applyNumberFormat="1" applyFont="1" applyFill="1" applyBorder="1"/>
    <x:xf numFmtId="0" fontId="18" fillId="7" borderId="19" xfId="0" applyNumberFormat="1" applyFont="1" applyFill="1" applyBorder="1" applyAlignment="1">
      <x:alignment horizontal="center"/>
    </x:xf>
    <x:xf numFmtId="0" fontId="19" fillId="9" borderId="0" xfId="0" applyNumberFormat="1" applyFont="1" applyFill="1" applyBorder="1"/>
    <x:xf numFmtId="0" fontId="19" fillId="9" borderId="13" xfId="0" applyNumberFormat="1" applyFont="1" applyFill="1" applyBorder="1"/>
    <x:xf numFmtId="0" fontId="19" fillId="9" borderId="14" xfId="0" applyNumberFormat="1" applyFont="1" applyFill="1" applyBorder="1"/>
    <x:xf numFmtId="0" fontId="19" fillId="9" borderId="15" xfId="0" applyNumberFormat="1" applyFont="1" applyFill="1" applyBorder="1"/>
    <x:xf numFmtId="0" fontId="19" fillId="9" borderId="13" xfId="0" applyNumberFormat="1" applyFont="1" applyFill="1" applyBorder="1" applyAlignment="1">
      <x:alignment wrapText="1"/>
    </x:xf>
    <x:xf numFmtId="0" fontId="19" fillId="9" borderId="14" xfId="0" applyNumberFormat="1" applyFont="1" applyFill="1" applyBorder="1" applyAlignment="1">
      <x:alignment wrapText="1"/>
    </x:xf>
    <x:xf numFmtId="0" fontId="19" fillId="9" borderId="15" xfId="0" applyNumberFormat="1" applyFont="1" applyFill="1" applyBorder="1" applyAlignment="1">
      <x:alignment wrapText="1"/>
    </x:xf>
    <x:xf numFmtId="0" fontId="19" fillId="9" borderId="13" xfId="0" applyNumberFormat="1" applyFont="1" applyFill="1" applyBorder="1" applyAlignment="1">
      <x:alignment vertical="center" wrapText="1"/>
    </x:xf>
    <x:xf numFmtId="0" fontId="19" fillId="9" borderId="14" xfId="0" applyNumberFormat="1" applyFont="1" applyFill="1" applyBorder="1" applyAlignment="1">
      <x:alignment vertical="center" wrapText="1"/>
    </x:xf>
    <x:xf numFmtId="0" fontId="19" fillId="9" borderId="15" xfId="0" applyNumberFormat="1" applyFont="1" applyFill="1" applyBorder="1" applyAlignment="1">
      <x:alignment vertical="center" wrapText="1"/>
    </x:xf>
    <x:xf numFmtId="0" fontId="16" fillId="0" borderId="0" xfId="0" applyNumberFormat="1" applyFont="1" applyFill="1" applyBorder="1"/>
    <x:xf numFmtId="0" fontId="16" fillId="0" borderId="8" xfId="0" applyNumberFormat="1" applyFont="1" applyFill="1" applyBorder="1"/>
    <x:xf numFmtId="0" fontId="16" fillId="0" borderId="2" xfId="0" applyNumberFormat="1" applyFont="1" applyFill="1" applyBorder="1"/>
    <x:xf numFmtId="0" fontId="16" fillId="0" borderId="5" xfId="0" applyNumberFormat="1" applyFont="1" applyFill="1" applyBorder="1"/>
    <x:xf numFmtId="0" fontId="16" fillId="0" borderId="8" xfId="0" applyNumberFormat="1" applyFont="1" applyFill="1" applyBorder="1" applyAlignment="1">
      <x:alignment wrapText="1"/>
    </x:xf>
    <x:xf numFmtId="0" fontId="16" fillId="0" borderId="2" xfId="0" applyNumberFormat="1" applyFont="1" applyFill="1" applyBorder="1" applyAlignment="1">
      <x:alignment wrapText="1"/>
    </x:xf>
    <x:xf numFmtId="0" fontId="16" fillId="0" borderId="5" xfId="0" applyNumberFormat="1" applyFont="1" applyFill="1" applyBorder="1" applyAlignment="1">
      <x:alignment wrapText="1"/>
    </x:xf>
    <x:xf numFmtId="0" fontId="16" fillId="0" borderId="8" xfId="0" applyNumberFormat="1" applyFont="1" applyFill="1" applyBorder="1" applyAlignment="1">
      <x:alignment vertical="top" wrapText="1"/>
    </x:xf>
    <x:xf numFmtId="0" fontId="16" fillId="0" borderId="2" xfId="0" applyNumberFormat="1" applyFont="1" applyFill="1" applyBorder="1" applyAlignment="1">
      <x:alignment vertical="top" wrapText="1"/>
    </x:xf>
    <x:xf numFmtId="0" fontId="16" fillId="0" borderId="5" xfId="0" applyNumberFormat="1" applyFont="1" applyFill="1" applyBorder="1" applyAlignment="1">
      <x:alignment vertical="top" wrapText="1"/>
    </x:xf>
    <x:xf numFmtId="200" fontId="16" fillId="0" borderId="8" xfId="0" applyNumberFormat="1" applyFont="1" applyFill="1" applyBorder="1" applyAlignment="1">
      <x:alignment vertical="top" wrapText="1"/>
    </x:xf>
    <x:xf numFmtId="200" fontId="16" fillId="0" borderId="2" xfId="0" applyNumberFormat="1" applyFont="1" applyFill="1" applyBorder="1" applyAlignment="1">
      <x:alignment vertical="top" wrapText="1"/>
    </x:xf>
    <x:xf numFmtId="200" fontId="16" fillId="0" borderId="5" xfId="0" applyNumberFormat="1" applyFont="1" applyFill="1" applyBorder="1" applyAlignment="1">
      <x:alignment vertical="top" wrapText="1"/>
    </x:xf>
    <x:xf numFmtId="200" fontId="16" fillId="0" borderId="8" xfId="0" applyNumberFormat="1" applyFont="1" applyFill="1" applyBorder="1" applyAlignment="1">
      <x:alignment horizontal="right" vertical="top" wrapText="1"/>
    </x:xf>
    <x:xf numFmtId="200" fontId="16" fillId="0" borderId="2" xfId="0" applyNumberFormat="1" applyFont="1" applyFill="1" applyBorder="1" applyAlignment="1">
      <x:alignment horizontal="right" vertical="top" wrapText="1"/>
    </x:xf>
    <x:xf numFmtId="200" fontId="16" fillId="0" borderId="5" xfId="0" applyNumberFormat="1" applyFont="1" applyFill="1" applyBorder="1" applyAlignment="1">
      <x:alignment horizontal="right" vertical="top" wrapText="1"/>
    </x:xf>
    <x:xf numFmtId="201" fontId="16" fillId="0" borderId="8" xfId="0" applyNumberFormat="1" applyFont="1" applyFill="1" applyBorder="1" applyAlignment="1">
      <x:alignment vertical="top" wrapText="1"/>
    </x:xf>
    <x:xf numFmtId="201" fontId="16" fillId="0" borderId="2" xfId="0" applyNumberFormat="1" applyFont="1" applyFill="1" applyBorder="1" applyAlignment="1">
      <x:alignment vertical="top" wrapText="1"/>
    </x:xf>
    <x:xf numFmtId="201" fontId="16" fillId="0" borderId="5" xfId="0" applyNumberFormat="1" applyFont="1" applyFill="1" applyBorder="1" applyAlignment="1">
      <x:alignment vertical="top" wrapText="1"/>
    </x:xf>
    <x:xf numFmtId="202" fontId="16" fillId="0" borderId="8" xfId="0" applyNumberFormat="1" applyFont="1" applyFill="1" applyBorder="1" applyAlignment="1">
      <x:alignment vertical="top" wrapText="1"/>
    </x:xf>
    <x:xf numFmtId="202" fontId="16" fillId="0" borderId="2" xfId="0" applyNumberFormat="1" applyFont="1" applyFill="1" applyBorder="1" applyAlignment="1">
      <x:alignment vertical="top" wrapText="1"/>
    </x:xf>
    <x:xf numFmtId="202" fontId="16" fillId="0" borderId="5" xfId="0" applyNumberFormat="1" applyFont="1" applyFill="1" applyBorder="1" applyAlignment="1">
      <x:alignment vertical="top" wrapText="1"/>
    </x:xf>
    <x:xf numFmtId="0" fontId="20" fillId="9" borderId="0" xfId="0" applyNumberFormat="1" applyFont="1" applyFill="1" applyBorder="1"/>
    <x:xf numFmtId="0" fontId="20" fillId="9" borderId="13" xfId="0" applyNumberFormat="1" applyFont="1" applyFill="1" applyBorder="1"/>
    <x:xf numFmtId="0" fontId="20" fillId="9" borderId="14" xfId="0" applyNumberFormat="1" applyFont="1" applyFill="1" applyBorder="1"/>
    <x:xf numFmtId="0" fontId="20" fillId="9" borderId="15" xfId="0" applyNumberFormat="1" applyFont="1" applyFill="1" applyBorder="1"/>
    <x:xf numFmtId="0" fontId="20" fillId="9" borderId="13" xfId="0" applyNumberFormat="1" applyFont="1" applyFill="1" applyBorder="1" applyAlignment="1">
      <x:alignment wrapText="1"/>
    </x:xf>
    <x:xf numFmtId="0" fontId="20" fillId="9" borderId="14" xfId="0" applyNumberFormat="1" applyFont="1" applyFill="1" applyBorder="1" applyAlignment="1">
      <x:alignment wrapText="1"/>
    </x:xf>
    <x:xf numFmtId="0" fontId="20" fillId="9" borderId="15" xfId="0" applyNumberFormat="1" applyFont="1" applyFill="1" applyBorder="1" applyAlignment="1">
      <x:alignment wrapText="1"/>
    </x:xf>
    <x:xf numFmtId="0" fontId="7" fillId="0" borderId="0" xfId="0" applyNumberFormat="1" applyFont="1" applyFill="1" applyBorder="1"/>
    <x:xf numFmtId="0" fontId="7" fillId="0" borderId="8" xfId="0" applyNumberFormat="1" applyFont="1" applyFill="1" applyBorder="1"/>
    <x:xf numFmtId="0" fontId="7" fillId="0" borderId="2" xfId="0" applyNumberFormat="1" applyFont="1" applyFill="1" applyBorder="1"/>
    <x:xf numFmtId="0" fontId="7" fillId="0" borderId="5" xfId="0" applyNumberFormat="1" applyFont="1" applyFill="1" applyBorder="1"/>
    <x:xf numFmtId="0" fontId="7" fillId="0" borderId="8" xfId="0" applyNumberFormat="1" applyFont="1" applyFill="1" applyBorder="1" applyAlignment="1">
      <x:alignment wrapText="1"/>
    </x:xf>
    <x:xf numFmtId="0" fontId="7" fillId="0" borderId="2"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5" xfId="0" applyNumberFormat="1" applyFont="1" applyFill="1" applyBorder="1" applyAlignment="1">
      <x:alignment vertical="top" wrapText="1"/>
    </x:xf>
    <x:xf numFmtId="202" fontId="7" fillId="0" borderId="8" xfId="0" applyNumberFormat="1" applyFont="1" applyFill="1" applyBorder="1" applyAlignment="1">
      <x:alignment vertical="top" wrapText="1"/>
    </x:xf>
    <x:xf numFmtId="202" fontId="7" fillId="0" borderId="2" xfId="0" applyNumberFormat="1" applyFont="1" applyFill="1" applyBorder="1" applyAlignment="1">
      <x:alignment vertical="top" wrapText="1"/>
    </x:xf>
    <x:xf numFmtId="202" fontId="7" fillId="0" borderId="5" xfId="0" applyNumberFormat="1" applyFont="1" applyFill="1" applyBorder="1" applyAlignment="1">
      <x:alignment vertical="top" wrapText="1"/>
    </x:xf>
    <x:xf numFmtId="202" fontId="7" fillId="0" borderId="8" xfId="0" applyNumberFormat="1" applyFont="1" applyFill="1" applyBorder="1"/>
    <x:xf numFmtId="202" fontId="7" fillId="0" borderId="2" xfId="0" applyNumberFormat="1" applyFont="1" applyFill="1" applyBorder="1"/>
    <x:xf numFmtId="202" fontId="7" fillId="0" borderId="5" xfId="0" applyNumberFormat="1" applyFont="1" applyFill="1" applyBorder="1"/>
    <x:xf numFmtId="0" fontId="7" fillId="7" borderId="0"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7" xfId="0" applyNumberFormat="1" applyFont="1" applyFill="1" applyBorder="1"/>
    <x:xf numFmtId="0" fontId="7" fillId="7" borderId="8" xfId="0" applyNumberFormat="1" applyFont="1" applyFill="1" applyBorder="1"/>
    <x:xf numFmtId="0" fontId="7" fillId="7" borderId="9" xfId="0" applyNumberFormat="1" applyFont="1" applyFill="1" applyBorder="1"/>
    <x:xf numFmtId="0" fontId="7" fillId="7" borderId="4" xfId="0" applyNumberFormat="1" applyFont="1" applyFill="1" applyBorder="1" applyAlignment="1">
      <x:alignment wrapText="1"/>
    </x:xf>
    <x:xf numFmtId="0" fontId="7" fillId="7" borderId="5" xfId="0" applyNumberFormat="1" applyFont="1" applyFill="1" applyBorder="1" applyAlignment="1">
      <x:alignment wrapText="1"/>
    </x:xf>
    <x:xf numFmtId="0" fontId="7" fillId="7" borderId="6" xfId="0" applyNumberFormat="1" applyFont="1" applyFill="1" applyBorder="1" applyAlignment="1">
      <x:alignment wrapText="1"/>
    </x:xf>
    <x:xf numFmtId="0" fontId="7" fillId="7" borderId="7" xfId="0" applyNumberFormat="1" applyFont="1" applyFill="1" applyBorder="1" applyAlignment="1">
      <x:alignment wrapText="1"/>
    </x:xf>
    <x:xf numFmtId="0" fontId="7" fillId="7" borderId="8" xfId="0" applyNumberFormat="1" applyFont="1" applyFill="1" applyBorder="1" applyAlignment="1">
      <x:alignment wrapText="1"/>
    </x:xf>
    <x:xf numFmtId="0" fontId="7" fillId="7" borderId="9" xfId="0" applyNumberFormat="1" applyFont="1" applyFill="1" applyBorder="1" applyAlignment="1">
      <x:alignment wrapText="1"/>
    </x:xf>
    <x:xf numFmtId="0" fontId="7" fillId="7" borderId="4" xfId="0" applyNumberFormat="1" applyFont="1" applyFill="1" applyBorder="1" applyAlignment="1">
      <x:alignment vertical="center" wrapText="1"/>
    </x:xf>
    <x:xf numFmtId="0" fontId="7" fillId="7" borderId="5" xfId="0" applyNumberFormat="1" applyFont="1" applyFill="1" applyBorder="1" applyAlignment="1">
      <x:alignment vertical="center" wrapText="1"/>
    </x:xf>
    <x:xf numFmtId="0" fontId="7" fillId="7" borderId="6" xfId="0" applyNumberFormat="1" applyFont="1" applyFill="1" applyBorder="1" applyAlignment="1">
      <x:alignment vertical="center" wrapText="1"/>
    </x:xf>
    <x:xf numFmtId="0" fontId="7" fillId="7" borderId="7" xfId="0" applyNumberFormat="1" applyFont="1" applyFill="1" applyBorder="1" applyAlignment="1">
      <x:alignment vertical="center" wrapText="1"/>
    </x:xf>
    <x:xf numFmtId="0" fontId="7" fillId="7" borderId="8" xfId="0" applyNumberFormat="1" applyFont="1" applyFill="1" applyBorder="1" applyAlignment="1">
      <x:alignment vertical="center" wrapText="1"/>
    </x:xf>
    <x:xf numFmtId="0" fontId="7" fillId="7" borderId="9" xfId="0" applyNumberFormat="1" applyFont="1" applyFill="1" applyBorder="1" applyAlignment="1">
      <x:alignment vertical="center" wrapText="1"/>
    </x:xf>
  </x:cellXfs>
  <x:cellStyles count="1">
    <x:cellStyle name="Normal" xfId="0"/>
  </x:cellStyles>
  <x:dxfs count="14">
    <x:dxf>
      <x:font>
        <x:color rgb="FF9C0006"/>
      </x:font>
      <x:fill>
        <x:patternFill patternType="solid">
          <x:bgColor rgb="FFFCE8E6"/>
        </x:patternFill>
      </x:fill>
    </x:dxf>
    <x:dxf>
      <x:font>
        <x:b/>
        <x:color rgb="FFC69214"/>
      </x:font>
      <x:fill>
        <x:patternFill patternType="solid">
          <x:bgColor rgb="FFFFF2CC"/>
        </x:patternFill>
      </x:fill>
    </x:dxf>
    <x:dxf>
      <x:font>
        <x:color rgb="FF2E6B3E"/>
      </x:font>
      <x:fill>
        <x:patternFill patternType="solid">
          <x:bgColor rgb="FFE2F0D9"/>
        </x:patternFill>
      </x:fill>
    </x:dxf>
    <x:dxf>
      <x:font>
        <x:color rgb="FFC69214"/>
      </x:font>
      <x:fill>
        <x:patternFill patternType="solid">
          <x:bgColor rgb="FFFFF2CC"/>
        </x:patternFill>
      </x:fill>
    </x:dxf>
    <x:dxf>
      <x:font>
        <x:color rgb="FF2E6B3E"/>
      </x:font>
      <x:fill>
        <x:patternFill patternType="solid">
          <x:bgColor rgb="FFE2F0D9"/>
        </x:patternFill>
      </x:fill>
    </x:dxf>
    <x:dxf>
      <x:font>
        <x:color rgb="FFC69214"/>
      </x:font>
      <x:fill>
        <x:patternFill patternType="solid">
          <x:bgColor rgb="FFFFF2CC"/>
        </x:patternFill>
      </x:fill>
    </x:dxf>
    <x:dxf>
      <x:font>
        <x:color rgb="FF2E6B3E"/>
      </x:font>
      <x:fill>
        <x:patternFill patternType="solid">
          <x:bgColor rgb="FFE2F0D9"/>
        </x:patternFill>
      </x:fill>
    </x:dxf>
    <x:dxf>
      <x:font>
        <x:color rgb="FFC69214"/>
      </x:font>
      <x:fill>
        <x:patternFill patternType="solid">
          <x:bgColor rgb="FFFFF2CC"/>
        </x:patternFill>
      </x:fill>
    </x:dxf>
    <x:dxf>
      <x:font>
        <x:color rgb="FF2E6B3E"/>
      </x:font>
      <x:fill>
        <x:patternFill patternType="solid">
          <x:bgColor rgb="FFE2F0D9"/>
        </x:patternFill>
      </x:fill>
    </x:dxf>
    <x:dxf>
      <x:font>
        <x:b/>
        <x:color rgb="FF2E6B3E"/>
      </x:font>
      <x:fill>
        <x:patternFill patternType="solid">
          <x:bgColor rgb="FFE2F0D9"/>
        </x:patternFill>
      </x:fill>
    </x:dxf>
    <x:dxf>
      <x:font>
        <x:color rgb="FF17365D"/>
      </x:font>
      <x:fill>
        <x:patternFill patternType="solid">
          <x:bgColor rgb="FFD9EAF7"/>
        </x:patternFill>
      </x:fill>
    </x:dxf>
    <x:dxf>
      <x:font>
        <x:b/>
        <x:color rgb="FF2E6B3E"/>
      </x:font>
      <x:fill>
        <x:patternFill patternType="solid">
          <x:bgColor rgb="FFE2F0D9"/>
        </x:patternFill>
      </x:fill>
    </x:dxf>
    <x:dxf>
      <x:font>
        <x:color rgb="FFC69214"/>
      </x:font>
      <x:fill>
        <x:patternFill patternType="solid">
          <x:bgColor rgb="FFFFF2CC"/>
        </x:patternFill>
      </x:fill>
    </x:dxf>
    <x:dxf>
      <x:font>
        <x:color rgb="FFC69214"/>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e9242ed9b148c4" /><Relationship Type="http://schemas.openxmlformats.org/officeDocument/2006/relationships/theme" Target="/xl/theme/theme1.xml" Id="R72f13e63485240a9" /><Relationship Type="http://schemas.openxmlformats.org/officeDocument/2006/relationships/sharedStrings" Target="/xl/sharedStrings.xml" Id="R3ff5f6b89d8d419b" /><Relationship Type="http://schemas.openxmlformats.org/officeDocument/2006/relationships/worksheet" Target="/xl/worksheets/sheet1.xml" Id="R76ef482c8e994f69" /><Relationship Type="http://schemas.openxmlformats.org/officeDocument/2006/relationships/worksheet" Target="/xl/worksheets/sheet2.xml" Id="R891bbd3c0eb64bbf" /><Relationship Type="http://schemas.openxmlformats.org/officeDocument/2006/relationships/worksheet" Target="/xl/worksheets/sheet3.xml" Id="R0d7df6b010404da9" /><Relationship Type="http://schemas.openxmlformats.org/officeDocument/2006/relationships/worksheet" Target="/xl/worksheets/sheet4.xml" Id="Rb5f84dd04b3b49cf" /><Relationship Type="http://schemas.openxmlformats.org/officeDocument/2006/relationships/worksheet" Target="/xl/worksheets/sheet5.xml" Id="Rb0db50fb293247b3" /><Relationship Type="http://schemas.openxmlformats.org/officeDocument/2006/relationships/worksheet" Target="/xl/worksheets/sheet6.xml" Id="R523e8dc4610f4c51" /><Relationship Type="http://schemas.openxmlformats.org/officeDocument/2006/relationships/worksheet" Target="/xl/worksheets/sheet7.xml" Id="R675f02c66d804c50" /><Relationship Type="http://schemas.openxmlformats.org/officeDocument/2006/relationships/worksheet" Target="/xl/worksheets/sheet8.xml" Id="R9acb9386aa474da4" /><Relationship Type="http://schemas.openxmlformats.org/officeDocument/2006/relationships/worksheet" Target="/xl/worksheets/sheet9.xml" Id="Rbc4ddfa3644c47ee" /><Relationship Type="http://schemas.openxmlformats.org/officeDocument/2006/relationships/worksheet" Target="/xl/worksheets/sheet10.xml" Id="Rc439375151f34387" /><Relationship Type="http://schemas.openxmlformats.org/officeDocument/2006/relationships/worksheet" Target="/xl/worksheets/sheet11.xml" Id="R4c56570545804e1d" /></Relationships>
</file>

<file path=xl/drawings/_rels/drawing1.xml.rels>&#65279;<?xml version="1.0" encoding="utf-8"?><Relationships xmlns="http://schemas.openxmlformats.org/package/2006/relationships"><Relationship Type="http://schemas.openxmlformats.org/officeDocument/2006/relationships/chart" Target="/xl/drawings/charts/chart1.xml" Id="Rcf7ea1bd757841c1" /></Relationships>
</file>

<file path=xl/drawings/_rels/drawing2.xml.rels>&#65279;<?xml version="1.0" encoding="utf-8"?><Relationships xmlns="http://schemas.openxmlformats.org/package/2006/relationships"><Relationship Type="http://schemas.openxmlformats.org/officeDocument/2006/relationships/chart" Target="/xl/drawings/charts/chart2.xml" Id="R28dd7e79e97943c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Image-reviewed instruments by family</a:t>
            </a:r>
          </a:p>
        </c:rich>
      </c:tx>
      <c:overlay val="0"/>
    </c:title>
    <c:plotArea>
      <c:barChart>
        <c:barDir val="col"/>
        <c:varyColors val="0"/>
        <c:ser>
          <c:idx val="0"/>
          <c:order val="0"/>
          <c:tx>
            <c:v>Image-reviewed instruments</c:v>
          </c:tx>
          <c:cat>
            <c:strRef>
              <c:f>'Executive Summary'!$N$41:$N$53</c:f>
              <c:strCache>
                <c:ptCount val="0"/>
              </c:strCache>
            </c:strRef>
          </c:cat>
          <c:val>
            <c:numRef>
              <c:f>'Executive Summary'!$O$41:$O$53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Franklin instrument events by year</a:t>
            </a:r>
          </a:p>
        </c:rich>
      </c:tx>
      <c:overlay val="0"/>
    </c:title>
    <c:plotArea>
      <c:lineChart>
        <c:grouping val="standard"/>
        <c:varyColors val="0"/>
        <c:ser>
          <c:idx val="0"/>
          <c:order val="0"/>
          <c:tx>
            <c:v>Total events</c:v>
          </c:tx>
          <c:marker>
            <c:symbol val="none"/>
          </c:marker>
          <c:cat>
            <c:strRef>
              <c:f>'Timeline Clusters'!$A$5:$A$44</c:f>
              <c:strCache>
                <c:ptCount val="0"/>
              </c:strCache>
            </c:strRef>
          </c:cat>
          <c:val>
            <c:numRef>
              <c:f>'Timeline Clusters'!$B$5:$B$44</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16</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f7ea1bd757841c1"/>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3</xdr:row>
      <xdr:rowOff>0</xdr:rowOff>
    </xdr:from>
    <xdr:to>
      <xdr:col>18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dd7e79e97943c7"/>
        </a:graphicData>
      </a:graphic>
    </xdr:graphicFrame>
    <xdr:clientData/>
  </xdr:twoCellAnchor>
</xdr:wsDr>
</file>

<file path=xl/tables/table1.xml><?xml version="1.0" encoding="utf-8"?>
<x:table xmlns:x="http://schemas.openxmlformats.org/spreadsheetml/2006/main" id="1" name="EntityCoverageTable" displayName="EntityCoverageTable" ref="A4:R17" headerRowCount="1" totalsRowCount="0" totalsRowShown="0">
  <x:autoFilter ref="A4:R17"/>
  <x:tableColumns count="18">
    <x:tableColumn id="1" name="family_key"/>
    <x:tableColumn id="2" name="core_target_family"/>
    <x:tableColumn id="3" name="ohio_entities_or_vehicle"/>
    <x:tableColumn id="4" name="ohio_filing_status"/>
    <x:tableColumn id="5" name="ohio_status_source"/>
    <x:tableColumn id="6" name="franklin_party_index_count"/>
    <x:tableColumn id="7" name="franklin_party_index_scope"/>
    <x:tableColumn id="8" name="franklin_party_index_source"/>
    <x:tableColumn id="9" name="franklin_ocr_count"/>
    <x:tableColumn id="10" name="franklin_ocr_scope"/>
    <x:tableColumn id="11" name="franklin_ocr_source"/>
    <x:tableColumn id="12" name="image_reviewed_instrument_count"/>
    <x:tableColumn id="13" name="image_review_scope"/>
    <x:tableColumn id="14" name="image_review_source"/>
    <x:tableColumn id="15" name="key_property_or_role_conclusion"/>
    <x:tableColumn id="16" name="merger_or_successor_state"/>
    <x:tableColumn id="17" name="epstein_capacity"/>
    <x:tableColumn id="18" name="limitations"/>
  </x:tableColumns>
  <x:tableStyleInfo name="TableStyleMedium2" showFirstColumn="0" showLastColumn="0" showRowStripes="1" showColumnStripes="0"/>
</x:table>
</file>

<file path=xl/tables/table2.xml><?xml version="1.0" encoding="utf-8"?>
<x:table xmlns:x="http://schemas.openxmlformats.org/spreadsheetml/2006/main" id="2" name="ParcelChronologyTable" displayName="ParcelChronologyTable" ref="A4:U120" headerRowCount="1" totalsRowCount="0" totalsRowShown="0">
  <x:autoFilter ref="A4:U120"/>
  <x:tableColumns count="21">
    <x:tableColumn id="1" name="event_date"/>
    <x:tableColumn id="2" name="instrument_number"/>
    <x:tableColumn id="3" name="native_doc_id"/>
    <x:tableColumn id="4" name="entity_family"/>
    <x:tableColumn id="5" name="parcel_id_or_tract"/>
    <x:tableColumn id="6" name="acreage"/>
    <x:tableColumn id="7" name="event_type"/>
    <x:tableColumn id="8" name="from_party"/>
    <x:tableColumn id="9" name="to_party"/>
    <x:tableColumn id="10" name="capacity"/>
    <x:tableColumn id="11" name="title_or_lien_effect"/>
    <x:tableColumn id="12" name="consideration_or_debt"/>
    <x:tableColumn id="13" name="prior_reference"/>
    <x:tableColumn id="14" name="next_reference"/>
    <x:tableColumn id="15" name="source_url"/>
    <x:tableColumn id="16" name="evidence_state"/>
    <x:tableColumn id="17" name="caveat"/>
    <x:tableColumn id="18" name="evidence_tier"/>
    <x:tableColumn id="19" name="event_year"/>
    <x:tableColumn id="20" name="activity_cluster"/>
    <x:tableColumn id="21" name="year_cluster_key"/>
  </x:tableColumns>
  <x:tableStyleInfo name="TableStyleMedium2" showFirstColumn="0" showLastColumn="0" showRowStripes="1" showColumnStripes="0"/>
</x:table>
</file>

<file path=xl/tables/table3.xml><?xml version="1.0" encoding="utf-8"?>
<x:table xmlns:x="http://schemas.openxmlformats.org/spreadsheetml/2006/main" id="3" name="TimelineCountsTable" displayName="TimelineCountsTable" ref="A4:H44" headerRowCount="1" totalsRowCount="0" totalsRowShown="0">
  <x:tableColumns count="8">
    <x:tableColumn id="1" name="Year"/>
    <x:tableColumn id="2" name="Total events"/>
    <x:tableColumn id="3" name="Cherry / C-Wren / KG"/>
    <x:tableColumn id="4" name="Rocky / New Albany"/>
    <x:tableColumn id="5" name="Morsham / Eastern"/>
    <x:tableColumn id="6" name="Park"/>
    <x:tableColumn id="7" name="HHD / Trust"/>
    <x:tableColumn id="8" name="Other"/>
  </x:tableColumns>
  <x:tableStyleInfo name="TableStyleMedium2" showFirstColumn="0" showLastColumn="0" showRowStripes="1" showColumnStripes="0"/>
</x:table>
</file>

<file path=xl/tables/table4.xml><?xml version="1.0" encoding="utf-8"?>
<x:table xmlns:x="http://schemas.openxmlformats.org/spreadsheetml/2006/main" id="4" name="InstrumentLedgerTable" displayName="InstrumentLedgerTable" ref="A4:Y114" headerRowCount="1" totalsRowCount="0" totalsRowShown="0">
  <x:autoFilter ref="A4:Y114"/>
  <x:tableColumns count="25">
    <x:tableColumn id="1" name="family"/>
    <x:tableColumn id="2" name="instrument_number"/>
    <x:tableColumn id="3" name="native_doc_id"/>
    <x:tableColumn id="4" name="recording_date"/>
    <x:tableColumn id="5" name="execution_date"/>
    <x:tableColumn id="6" name="document_type"/>
    <x:tableColumn id="7" name="grantor_or_mortgagor"/>
    <x:tableColumn id="8" name="grantee_or_mortgagee"/>
    <x:tableColumn id="9" name="capacity_or_successor_wording"/>
    <x:tableColumn id="10" name="consideration_or_debt"/>
    <x:tableColumn id="11" name="signer_and_title"/>
    <x:tableColumn id="12" name="notary"/>
    <x:tableColumn id="13" name="preparer"/>
    <x:tableColumn id="14" name="return_or_tax_address"/>
    <x:tableColumn id="15" name="legal_and_acreage"/>
    <x:tableColumn id="16" name="parcel_ids"/>
    <x:tableColumn id="17" name="prior_or_next_references"/>
    <x:tableColumn id="18" name="decisive_conclusion"/>
    <x:tableColumn id="19" name="source_url"/>
    <x:tableColumn id="20" name="page_count"/>
    <x:tableColumn id="21" name="ocr_state"/>
    <x:tableColumn id="22" name="visual_review_pages"/>
    <x:tableColumn id="23" name="evidence_state"/>
    <x:tableColumn id="24" name="local_image_dir"/>
    <x:tableColumn id="25" name="ocr_dir"/>
  </x:tableColumns>
  <x:tableStyleInfo name="TableStyleMedium2" showFirstColumn="0" showLastColumn="0" showRowStripes="1" showColumnStripes="0"/>
</x:table>
</file>

<file path=xl/tables/table5.xml><?xml version="1.0" encoding="utf-8"?>
<x:table xmlns:x="http://schemas.openxmlformats.org/spreadsheetml/2006/main" id="5" name="EntityIndexTable" displayName="EntityIndexTable" ref="A4:P129" headerRowCount="1" totalsRowCount="0" totalsRowShown="0">
  <x:autoFilter ref="A4:P129"/>
  <x:tableColumns count="16">
    <x:tableColumn id="1" name="entity_name"/>
    <x:tableColumn id="2" name="aliases"/>
    <x:tableColumn id="3" name="entity_class"/>
    <x:tableColumn id="4" name="formation_jurisdiction"/>
    <x:tableColumn id="5" name="ohio_entity_number"/>
    <x:tableColumn id="6" name="status"/>
    <x:tableColumn id="7" name="ohio_or_property_address"/>
    <x:tableColumn id="8" name="parcel_or_property"/>
    <x:tableColumn id="9" name="epstein_role_or_nexus"/>
    <x:tableColumn id="10" name="wexner_role_or_nexus"/>
    <x:tableColumn id="11" name="date_range"/>
    <x:tableColumn id="12" name="verification_status"/>
    <x:tableColumn id="13" name="removal_or_exit_status"/>
    <x:tableColumn id="14" name="priority"/>
    <x:tableColumn id="15" name="key_evidence_refs"/>
    <x:tableColumn id="16" name="notes"/>
  </x:tableColumns>
  <x:tableStyleInfo name="TableStyleMedium2" showFirstColumn="0" showLastColumn="0" showRowStripes="1" showColumnStripes="0"/>
</x:table>
</file>

<file path=xl/tables/table6.xml><?xml version="1.0" encoding="utf-8"?>
<x:table xmlns:x="http://schemas.openxmlformats.org/spreadsheetml/2006/main" id="6" name="EvidenceIndexTable" displayName="EvidenceIndexTable" ref="A4:K321" headerRowCount="1" totalsRowCount="0" totalsRowShown="0">
  <x:autoFilter ref="A4:K321"/>
  <x:tableColumns count="11">
    <x:tableColumn id="1" name="entity_name"/>
    <x:tableColumn id="2" name="event_date"/>
    <x:tableColumn id="3" name="record_type"/>
    <x:tableColumn id="4" name="record_id"/>
    <x:tableColumn id="5" name="source"/>
    <x:tableColumn id="6" name="role_or_transaction"/>
    <x:tableColumn id="7" name="people"/>
    <x:tableColumn id="8" name="address_or_parcel"/>
    <x:tableColumn id="9" name="verification_level"/>
    <x:tableColumn id="10" name="key_fact"/>
    <x:tableColumn id="11" name="caution"/>
  </x:tableColumns>
  <x:tableStyleInfo name="TableStyleMedium2" showFirstColumn="0" showLastColumn="0" showRowStripes="1" showColumnStripes="0"/>
</x:table>
</file>

<file path=xl/tables/table7.xml><?xml version="1.0" encoding="utf-8"?>
<x:table xmlns:x="http://schemas.openxmlformats.org/spreadsheetml/2006/main" id="7" name="MergerTransactionsTable" displayName="MergerTransactionsTable" ref="A4:T12" headerRowCount="1" totalsRowCount="0" totalsRowShown="0">
  <x:autoFilter ref="A4:T12"/>
  <x:tableColumns count="20">
    <x:tableColumn id="1" name="transaction_key"/>
    <x:tableColumn id="2" name="transaction_kind"/>
    <x:tableColumn id="3" name="survivor_entity_key"/>
    <x:tableColumn id="4" name="survivor_ohio_entity_number"/>
    <x:tableColumn id="5" name="survivor_legal_name"/>
    <x:tableColumn id="6" name="primary_merger_document_ids"/>
    <x:tableColumn id="7" name="approval_date"/>
    <x:tableColumn id="8" name="execution_date"/>
    <x:tableColumn id="9" name="effective_date"/>
    <x:tableColumn id="10" name="sos_recording_date"/>
    <x:tableColumn id="11" name="receipt_date"/>
    <x:tableColumn id="12" name="receipt_numbers"/>
    <x:tableColumn id="13" name="microfilm_roll"/>
    <x:tableColumn id="14" name="primary_frame_start"/>
    <x:tableColumn id="15" name="primary_frame_end"/>
    <x:tableColumn id="16" name="counsel_or_return_to"/>
    <x:tableColumn id="17" name="verification_state"/>
    <x:tableColumn id="18" name="source_quote"/>
    <x:tableColumn id="19" name="evidence_refs"/>
    <x:tableColumn id="20" name="notes"/>
  </x:tableColumns>
  <x:tableStyleInfo name="TableStyleMedium2" showFirstColumn="0" showLastColumn="0" showRowStripes="1" showColumnStripes="0"/>
</x:table>
</file>

<file path=xl/tables/table8.xml><?xml version="1.0" encoding="utf-8"?>
<x:table xmlns:x="http://schemas.openxmlformats.org/spreadsheetml/2006/main" id="8" name="MergerPartiesTable" displayName="MergerPartiesTable" ref="A4:O53" headerRowCount="1" totalsRowCount="0" totalsRowShown="0">
  <x:autoFilter ref="A4:O53"/>
  <x:tableColumns count="15">
    <x:tableColumn id="1" name="transaction_key"/>
    <x:tableColumn id="2" name="party_order"/>
    <x:tableColumn id="3" name="entity_key"/>
    <x:tableColumn id="4" name="ohio_entity_number"/>
    <x:tableColumn id="5" name="legal_name"/>
    <x:tableColumn id="6" name="party_role"/>
    <x:tableColumn id="7" name="survivor_entity_key"/>
    <x:tableColumn id="8" name="party_specific_document_id"/>
    <x:tableColumn id="9" name="party_document_id_state"/>
    <x:tableColumn id="10" name="effective_date"/>
    <x:tableColumn id="11" name="property_search_rule"/>
    <x:tableColumn id="12" name="primary_evidence_page"/>
    <x:tableColumn id="13" name="primary_evidence_ref"/>
    <x:tableColumn id="14" name="edge_verification_state"/>
    <x:tableColumn id="15" name="notes"/>
  </x:tableColumns>
  <x:tableStyleInfo name="TableStyleMedium2" showFirstColumn="0" showLastColumn="0" showRowStripes="1" showColumnStripes="0"/>
</x:table>
</file>

<file path=xl/tables/table9.xml><?xml version="1.0" encoding="utf-8"?>
<x:table xmlns:x="http://schemas.openxmlformats.org/spreadsheetml/2006/main" id="9" name="MorshamChainTable" displayName="MorshamChainTable" ref="A4:H18" headerRowCount="1" totalsRowCount="0" totalsRowShown="0">
  <x:autoFilter ref="A4:H18"/>
  <x:tableColumns count="8">
    <x:tableColumn id="1" name="date"/>
    <x:tableColumn id="2" name="event"/>
    <x:tableColumn id="3" name="entity_from"/>
    <x:tableColumn id="4" name="entity_to"/>
    <x:tableColumn id="5" name="relationship"/>
    <x:tableColumn id="6" name="evidence_source"/>
    <x:tableColumn id="7" name="evidence_state"/>
    <x:tableColumn id="8" name="caveat"/>
  </x:tableColumns>
  <x:tableStyleInfo name="TableStyleMedium2" showFirstColumn="0" showLastColumn="0" showRowStripes="1" showColumnStripes="0"/>
</x:table>
</file>

<file path=xl/tables/table10.xml><?xml version="1.0" encoding="utf-8"?>
<x:table xmlns:x="http://schemas.openxmlformats.org/spreadsheetml/2006/main" id="10" name="SearchQATable" displayName="SearchQATable" ref="A4:L18" headerRowCount="1" totalsRowCount="0" totalsRowShown="0">
  <x:autoFilter ref="A4:L18"/>
  <x:tableColumns count="12">
    <x:tableColumn id="1" name="qa_id"/>
    <x:tableColumn id="2" name="search_state_or_issue"/>
    <x:tableColumn id="3" name="source"/>
    <x:tableColumn id="4" name="scope_or_query"/>
    <x:tableColumn id="5" name="quantitative_result"/>
    <x:tableColumn id="6" name="result_unit"/>
    <x:tableColumn id="7" name="quantitative_source"/>
    <x:tableColumn id="8" name="access_or_completion"/>
    <x:tableColumn id="9" name="what_this_state_supports"/>
    <x:tableColumn id="10" name="what_this_state_does_not_support"/>
    <x:tableColumn id="11" name="key_example"/>
    <x:tableColumn id="12" name="rule_or_follow_u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6957dbaaaaa44e7" /></Relationships>
</file>

<file path=xl/worksheets/_rels/sheet2.xml.rels>&#65279;<?xml version="1.0" encoding="utf-8"?><Relationships xmlns="http://schemas.openxmlformats.org/package/2006/relationships"><Relationship Type="http://schemas.openxmlformats.org/officeDocument/2006/relationships/table" Target="/xl/tables/table1.xml" Id="R86dfc4d5cd4b404a" /></Relationships>
</file>

<file path=xl/worksheets/_rels/sheet3.xml.rels>&#65279;<?xml version="1.0" encoding="utf-8"?><Relationships xmlns="http://schemas.openxmlformats.org/package/2006/relationships"><Relationship Type="http://schemas.openxmlformats.org/officeDocument/2006/relationships/table" Target="/xl/tables/table2.xml" Id="R730772c87c214c69" /></Relationships>
</file>

<file path=xl/worksheets/_rels/sheet4.xml.rels>&#65279;<?xml version="1.0" encoding="utf-8"?><Relationships xmlns="http://schemas.openxmlformats.org/package/2006/relationships"><Relationship Type="http://schemas.openxmlformats.org/officeDocument/2006/relationships/drawing" Target="/xl/drawings/drawing2.xml" Id="R860f239f6fc841df" /><Relationship Type="http://schemas.openxmlformats.org/officeDocument/2006/relationships/table" Target="/xl/tables/table3.xml" Id="Rf6763f4bbac6434f" /></Relationships>
</file>

<file path=xl/worksheets/_rels/sheet5.xml.rels>&#65279;<?xml version="1.0" encoding="utf-8"?><Relationships xmlns="http://schemas.openxmlformats.org/package/2006/relationships"><Relationship Type="http://schemas.openxmlformats.org/officeDocument/2006/relationships/table" Target="/xl/tables/table4.xml" Id="R56b702aaaf284e9f" /></Relationships>
</file>

<file path=xl/worksheets/_rels/sheet6.xml.rels>&#65279;<?xml version="1.0" encoding="utf-8"?><Relationships xmlns="http://schemas.openxmlformats.org/package/2006/relationships"><Relationship Type="http://schemas.openxmlformats.org/officeDocument/2006/relationships/table" Target="/xl/tables/table5.xml" Id="R0d91b3dba651457f" /></Relationships>
</file>

<file path=xl/worksheets/_rels/sheet7.xml.rels>&#65279;<?xml version="1.0" encoding="utf-8"?><Relationships xmlns="http://schemas.openxmlformats.org/package/2006/relationships"><Relationship Type="http://schemas.openxmlformats.org/officeDocument/2006/relationships/table" Target="/xl/tables/table6.xml" Id="R601bc2eefefe4b06" /></Relationships>
</file>

<file path=xl/worksheets/_rels/sheet8.xml.rels>&#65279;<?xml version="1.0" encoding="utf-8"?><Relationships xmlns="http://schemas.openxmlformats.org/package/2006/relationships"><Relationship Type="http://schemas.openxmlformats.org/officeDocument/2006/relationships/table" Target="/xl/tables/table7.xml" Id="R4320cd366eec43e1" /></Relationships>
</file>

<file path=xl/worksheets/_rels/sheet9.xml.rels>&#65279;<?xml version="1.0" encoding="utf-8"?><Relationships xmlns="http://schemas.openxmlformats.org/package/2006/relationships"><Relationship Type="http://schemas.openxmlformats.org/officeDocument/2006/relationships/table" Target="/xl/tables/table8.xml" Id="Reab60b9bbad84df0" /></Relationships>
</file>

<file path=xl/worksheets/_rels/sheet10.xml.rels>&#65279;<?xml version="1.0" encoding="utf-8"?><Relationships xmlns="http://schemas.openxmlformats.org/package/2006/relationships"><Relationship Type="http://schemas.openxmlformats.org/officeDocument/2006/relationships/table" Target="/xl/tables/table9.xml" Id="Re1c5a04514cf4ca2" /></Relationships>
</file>

<file path=xl/worksheets/_rels/sheet11.xml.rels>&#65279;<?xml version="1.0" encoding="utf-8"?><Relationships xmlns="http://schemas.openxmlformats.org/package/2006/relationships"><Relationship Type="http://schemas.openxmlformats.org/officeDocument/2006/relationships/table" Target="/xl/tables/table10.xml" Id="Rdde748b44ad342dc"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s>
  <x:sheetData>
    <x:row r="1" ht="30" customHeight="1">
      <x:c r="A1" s="222" t="str">
        <x:v>Ohio corporate and property reconstruction</x:v>
      </x:c>
      <x:c r="B1" s="222"/>
      <x:c r="C1" s="222"/>
      <x:c r="D1" s="222"/>
      <x:c r="E1" s="222"/>
      <x:c r="F1" s="222"/>
      <x:c r="G1" s="222"/>
      <x:c r="H1" s="222"/>
      <x:c r="I1" s="222"/>
      <x:c r="J1" s="222"/>
      <x:c r="K1" s="222"/>
      <x:c r="L1" s="222"/>
      <x:c r="M1" s="222"/>
      <x:c r="N1" s="222"/>
      <x:c r="O1" s="222"/>
      <x:c r="P1" s="222"/>
    </x:row>
    <x:row r="2" ht="36" customHeight="1">
      <x:c r="A2" s="12" t="str">
        <x:v>Primary-source index of the Epstein/Wexner-era Ohio entities, Franklin County instrument families, merger chains, financing records, and bounded search gaps. Updated 2026-07-31.</x:v>
      </x:c>
      <x:c r="B2" s="13"/>
      <x:c r="C2" s="13"/>
      <x:c r="D2" s="13"/>
      <x:c r="E2" s="13"/>
      <x:c r="F2" s="13"/>
      <x:c r="G2" s="13"/>
      <x:c r="H2" s="13"/>
      <x:c r="I2" s="13"/>
      <x:c r="J2" s="13"/>
      <x:c r="K2" s="13"/>
      <x:c r="L2" s="13"/>
      <x:c r="M2" s="13"/>
      <x:c r="N2" s="13"/>
      <x:c r="O2" s="13"/>
      <x:c r="P2" s="14"/>
    </x:row>
    <x:row r="3">
      <x:c r="A3" s="223"/>
      <x:c r="B3" s="223"/>
      <x:c r="C3" s="223"/>
      <x:c r="D3" s="223"/>
      <x:c r="E3" s="223"/>
      <x:c r="F3" s="223"/>
      <x:c r="G3" s="223"/>
      <x:c r="H3" s="223"/>
      <x:c r="I3" s="223"/>
      <x:c r="J3" s="223"/>
      <x:c r="K3" s="223"/>
      <x:c r="L3" s="223"/>
      <x:c r="M3" s="223"/>
      <x:c r="N3" s="223"/>
      <x:c r="O3" s="223"/>
      <x:c r="P3" s="223"/>
    </x:row>
    <x:row r="4" ht="25" customHeight="1">
      <x:c r="A4" s="224" t="str">
        <x:v>Core families</x:v>
      </x:c>
      <x:c r="B4" s="225"/>
      <x:c r="C4" s="226"/>
      <x:c r="D4" s="227" t="str">
        <x:v>Parcel events</x:v>
      </x:c>
      <x:c r="E4" s="228"/>
      <x:c r="F4" s="229"/>
      <x:c r="G4" s="230" t="str">
        <x:v>Image-backed events</x:v>
      </x:c>
      <x:c r="H4" s="231"/>
      <x:c r="I4" s="232"/>
      <x:c r="J4" s="233" t="str">
        <x:v>Detail-only events</x:v>
      </x:c>
      <x:c r="K4" s="234"/>
      <x:c r="L4" s="235"/>
      <x:c r="M4" s="223"/>
      <x:c r="N4" s="223"/>
      <x:c r="O4" s="223"/>
      <x:c r="P4" s="223"/>
    </x:row>
    <x:row r="5" ht="25" customHeight="1">
      <x:c r="A5" s="236" t="n">
        <x:f>COUNTA('Entity Coverage'!$B$5:$B$17)</x:f>
        <x:v>13</x:v>
      </x:c>
      <x:c r="B5" s="237"/>
      <x:c r="C5" s="238"/>
      <x:c r="D5" s="239" t="n">
        <x:f>COUNTA('Parcel Chronology'!$A$5:$A$120)</x:f>
        <x:v>116</x:v>
      </x:c>
      <x:c r="E5" s="240"/>
      <x:c r="F5" s="241"/>
      <x:c r="G5" s="242" t="n">
        <x:f>COUNTIF('Parcel Chronology'!$R$5:$R$120,"Image-backed")</x:f>
        <x:v>110</x:v>
      </x:c>
      <x:c r="H5" s="243"/>
      <x:c r="I5" s="244"/>
      <x:c r="J5" s="245" t="n">
        <x:f>COUNTIF('Parcel Chronology'!$R$5:$R$120,"Detail only")</x:f>
        <x:v>6</x:v>
      </x:c>
      <x:c r="K5" s="246"/>
      <x:c r="L5" s="247"/>
      <x:c r="M5" s="223"/>
      <x:c r="N5" s="223"/>
      <x:c r="O5" s="223"/>
      <x:c r="P5" s="223"/>
    </x:row>
    <x:row r="6" ht="25" customHeight="1">
      <x:c r="A6" s="248"/>
      <x:c r="B6" s="249"/>
      <x:c r="C6" s="250"/>
      <x:c r="D6" s="251"/>
      <x:c r="E6" s="252"/>
      <x:c r="F6" s="253"/>
      <x:c r="G6" s="254"/>
      <x:c r="H6" s="255"/>
      <x:c r="I6" s="256"/>
      <x:c r="J6" s="257"/>
      <x:c r="K6" s="258"/>
      <x:c r="L6" s="259"/>
      <x:c r="M6" s="223"/>
      <x:c r="N6" s="223"/>
      <x:c r="O6" s="223"/>
      <x:c r="P6" s="223"/>
    </x:row>
    <x:row r="7">
      <x:c r="A7" s="223"/>
      <x:c r="B7" s="223"/>
      <x:c r="C7" s="223"/>
      <x:c r="D7" s="223"/>
      <x:c r="E7" s="223"/>
      <x:c r="F7" s="223"/>
      <x:c r="G7" s="223"/>
      <x:c r="H7" s="223"/>
      <x:c r="I7" s="223"/>
      <x:c r="J7" s="223"/>
      <x:c r="K7" s="223"/>
      <x:c r="L7" s="223"/>
      <x:c r="M7" s="223"/>
      <x:c r="N7" s="223"/>
      <x:c r="O7" s="223"/>
      <x:c r="P7" s="223"/>
    </x:row>
    <x:row r="8">
      <x:c r="A8" s="260" t="str">
        <x:v>What the records now establish</x:v>
      </x:c>
      <x:c r="B8" s="261"/>
      <x:c r="C8" s="261"/>
      <x:c r="D8" s="261"/>
      <x:c r="E8" s="261"/>
      <x:c r="F8" s="262"/>
      <x:c r="G8" s="223"/>
      <x:c r="H8" s="223"/>
      <x:c r="I8" s="223"/>
      <x:c r="J8" s="223"/>
      <x:c r="K8" s="223"/>
      <x:c r="L8" s="223"/>
      <x:c r="M8" s="223"/>
      <x:c r="N8" s="223"/>
      <x:c r="O8" s="223"/>
      <x:c r="P8" s="223"/>
    </x:row>
    <x:row r="9" ht="48" customHeight="1">
      <x:c r="A9" s="263" t="str">
        <x:v>Morsham merger</x:v>
      </x:c>
      <x:c r="B9" s="264"/>
      <x:c r="C9" s="265" t="str">
        <x:v>Eastern Ohio Holding Company, Inc. (855092) was the named statutory survivor on 1995-12-29. Morsham did not merely change its name; the form's name-change field is blank.</x:v>
      </x:c>
      <x:c r="D9" s="266"/>
      <x:c r="E9" s="266"/>
      <x:c r="F9" s="267"/>
      <x:c r="G9" s="223"/>
      <x:c r="H9" s="223"/>
      <x:c r="I9" s="223"/>
      <x:c r="J9" s="223"/>
      <x:c r="K9" s="223"/>
      <x:c r="L9" s="223"/>
      <x:c r="M9" s="223"/>
      <x:c r="N9" s="223"/>
      <x:c r="O9" s="223"/>
      <x:c r="P9" s="223"/>
    </x:row>
    <x:row r="10" ht="48" customHeight="1">
      <x:c r="A10" s="268" t="str">
        <x:v>Later Morsham chain</x:v>
      </x:c>
      <x:c r="B10" s="269"/>
      <x:c r="C10" s="270" t="str">
        <x:v>Recorder deeds show Eastern Ohio acting as Morsham's land-title successor. A 2016 affidavit separately asserts New Albany Company LLC as ultimate successor to Morsham assets; the intervening statutory bridge remains open.</x:v>
      </x:c>
      <x:c r="D10" s="271"/>
      <x:c r="E10" s="271"/>
      <x:c r="F10" s="272"/>
      <x:c r="G10" s="223"/>
      <x:c r="H10" s="223"/>
      <x:c r="I10" s="223"/>
      <x:c r="J10" s="223"/>
      <x:c r="K10" s="223"/>
      <x:c r="L10" s="223"/>
      <x:c r="M10" s="223"/>
      <x:c r="N10" s="223"/>
      <x:c r="O10" s="223"/>
      <x:c r="P10" s="223"/>
    </x:row>
    <x:row r="11" ht="48" customHeight="1">
      <x:c r="A11" s="263" t="str">
        <x:v>C-Wren / KG</x:v>
      </x:c>
      <x:c r="B11" s="264"/>
      <x:c r="C11" s="265" t="str">
        <x:v>C-Wren was a KG member, and Epstein signed two instruments as C-Wren vice president. KG's $12m Bank One mortgage and $1.08m Cherry seller mortgage each have a separate 1993 release.</x:v>
      </x:c>
      <x:c r="D11" s="266"/>
      <x:c r="E11" s="266"/>
      <x:c r="F11" s="267"/>
      <x:c r="G11" s="223"/>
      <x:c r="H11" s="223"/>
      <x:c r="I11" s="223"/>
      <x:c r="J11" s="223"/>
      <x:c r="K11" s="223"/>
      <x:c r="L11" s="223"/>
      <x:c r="M11" s="223"/>
      <x:c r="N11" s="223"/>
      <x:c r="O11" s="223"/>
      <x:c r="P11" s="223"/>
    </x:row>
    <x:row r="12" ht="48" customHeight="1">
      <x:c r="A12" s="268" t="str">
        <x:v>Park Properties</x:v>
      </x:c>
      <x:c r="B12" s="269"/>
      <x:c r="C12" s="270" t="str">
        <x:v>Park was a partnership general partner and mortgagee, not the fee owner. Three apparent $5m records were one financing plus two recorder-error duplicates; the operative lien was satisfied in 1990.</x:v>
      </x:c>
      <x:c r="D12" s="271"/>
      <x:c r="E12" s="271"/>
      <x:c r="F12" s="272"/>
      <x:c r="G12" s="223"/>
      <x:c r="H12" s="223"/>
      <x:c r="I12" s="223"/>
      <x:c r="J12" s="223"/>
      <x:c r="K12" s="223"/>
      <x:c r="L12" s="223"/>
      <x:c r="M12" s="223"/>
      <x:c r="N12" s="223"/>
      <x:c r="O12" s="223"/>
      <x:c r="P12" s="223"/>
    </x:row>
    <x:row r="13" ht="48" customHeight="1">
      <x:c r="A13" s="263" t="str">
        <x:v>H.H.D.&amp;B.</x:v>
      </x:c>
      <x:c r="B13" s="264"/>
      <x:c r="C13" s="265" t="str">
        <x:v>The 30.368-acre tract moved to Epstein in 1992 and H.H.D.&amp;B. in 1998. Deed tax stamps are not sale prices; the separate Auditor fields report $3.5m and $8m.</x:v>
      </x:c>
      <x:c r="D13" s="266"/>
      <x:c r="E13" s="266"/>
      <x:c r="F13" s="267"/>
      <x:c r="G13" s="223"/>
      <x:c r="H13" s="223"/>
      <x:c r="I13" s="223"/>
      <x:c r="J13" s="223"/>
      <x:c r="K13" s="223"/>
      <x:c r="L13" s="223"/>
      <x:c r="M13" s="223"/>
      <x:c r="N13" s="223"/>
      <x:c r="O13" s="223"/>
      <x:c r="P13" s="223"/>
    </x:row>
    <x:row r="14" ht="48" customHeight="1">
      <x:c r="A14" s="268" t="str">
        <x:v>Search design</x:v>
      </x:c>
      <x:c r="B14" s="269"/>
      <x:c r="C14" s="270" t="str">
        <x:v>The exact party index missed C-Wren, while exact OCR found it in document bodies. OCR also produced boundary-only and token-noise hits, so image review controls load-bearing conclusions.</x:v>
      </x:c>
      <x:c r="D14" s="271"/>
      <x:c r="E14" s="271"/>
      <x:c r="F14" s="272"/>
      <x:c r="G14" s="223"/>
      <x:c r="H14" s="223"/>
      <x:c r="I14" s="223"/>
      <x:c r="J14" s="223"/>
      <x:c r="K14" s="223"/>
      <x:c r="L14" s="223"/>
      <x:c r="M14" s="223"/>
      <x:c r="N14" s="223"/>
      <x:c r="O14" s="223"/>
      <x:c r="P14" s="223"/>
    </x:row>
    <x:row r="15">
      <x:c r="A15" s="223"/>
      <x:c r="B15" s="223"/>
      <x:c r="C15" s="223"/>
      <x:c r="D15" s="223"/>
      <x:c r="E15" s="223"/>
      <x:c r="F15" s="223"/>
      <x:c r="G15" s="223"/>
      <x:c r="H15" s="223"/>
      <x:c r="I15" s="223"/>
      <x:c r="J15" s="223"/>
      <x:c r="K15" s="223"/>
      <x:c r="L15" s="223"/>
      <x:c r="M15" s="223"/>
      <x:c r="N15" s="223"/>
      <x:c r="O15" s="223"/>
      <x:c r="P15" s="223"/>
    </x:row>
    <x:row r="16">
      <x:c r="A16" s="223"/>
      <x:c r="B16" s="223"/>
      <x:c r="C16" s="223"/>
      <x:c r="D16" s="223"/>
      <x:c r="E16" s="223"/>
      <x:c r="F16" s="223"/>
      <x:c r="G16" s="223"/>
      <x:c r="H16" s="223"/>
      <x:c r="I16" s="223"/>
      <x:c r="J16" s="223"/>
      <x:c r="K16" s="223"/>
      <x:c r="L16" s="223"/>
      <x:c r="M16" s="223"/>
      <x:c r="N16" s="223"/>
      <x:c r="O16" s="223"/>
      <x:c r="P16" s="223"/>
    </x:row>
    <x:row r="17">
      <x:c r="A17" s="273" t="str">
        <x:v>Evidence rules</x:v>
      </x:c>
      <x:c r="B17" s="274"/>
      <x:c r="C17" s="274"/>
      <x:c r="D17" s="274"/>
      <x:c r="E17" s="274"/>
      <x:c r="F17" s="275"/>
      <x:c r="G17" s="223"/>
      <x:c r="H17" s="223"/>
      <x:c r="I17" s="223"/>
      <x:c r="J17" s="223"/>
      <x:c r="K17" s="223"/>
      <x:c r="L17" s="223"/>
      <x:c r="M17" s="223"/>
      <x:c r="N17" s="223"/>
      <x:c r="O17" s="223"/>
      <x:c r="P17" s="223"/>
    </x:row>
    <x:row r="18" ht="34" customHeight="1">
      <x:c r="A18" s="276" t="str">
        <x:v>Index</x:v>
      </x:c>
      <x:c r="B18" s="277"/>
      <x:c r="C18" s="278" t="str">
        <x:v>Candidate locator; it may omit parties or reverse legal capacity.</x:v>
      </x:c>
      <x:c r="D18" s="279"/>
      <x:c r="E18" s="279"/>
      <x:c r="F18" s="280"/>
      <x:c r="G18" s="223"/>
      <x:c r="H18" s="223"/>
      <x:c r="I18" s="223"/>
      <x:c r="J18" s="223"/>
      <x:c r="K18" s="223"/>
      <x:c r="L18" s="223"/>
      <x:c r="M18" s="223"/>
      <x:c r="N18" s="223"/>
      <x:c r="O18" s="223"/>
      <x:c r="P18" s="223"/>
    </x:row>
    <x:row r="19" ht="34" customHeight="1">
      <x:c r="A19" s="276" t="str">
        <x:v>OCR</x:v>
      </x:c>
      <x:c r="B19" s="277"/>
      <x:c r="C19" s="278" t="str">
        <x:v>Discovery evidence; confirm context, spelling, and role against the native image.</x:v>
      </x:c>
      <x:c r="D19" s="279"/>
      <x:c r="E19" s="279"/>
      <x:c r="F19" s="280"/>
      <x:c r="G19" s="223"/>
      <x:c r="H19" s="223"/>
      <x:c r="I19" s="223"/>
      <x:c r="J19" s="223"/>
      <x:c r="K19" s="223"/>
      <x:c r="L19" s="223"/>
      <x:c r="M19" s="223"/>
      <x:c r="N19" s="223"/>
      <x:c r="O19" s="223"/>
      <x:c r="P19" s="223"/>
    </x:row>
    <x:row r="20" ht="34" customHeight="1">
      <x:c r="A20" s="276" t="str">
        <x:v>Image</x:v>
      </x:c>
      <x:c r="B20" s="277"/>
      <x:c r="C20" s="278" t="str">
        <x:v>Controls operative party, signature capacity, successor wording, legal description, and stated debt/consideration.</x:v>
      </x:c>
      <x:c r="D20" s="279"/>
      <x:c r="E20" s="279"/>
      <x:c r="F20" s="280"/>
      <x:c r="G20" s="223"/>
      <x:c r="H20" s="223"/>
      <x:c r="I20" s="223"/>
      <x:c r="J20" s="223"/>
      <x:c r="K20" s="223"/>
      <x:c r="L20" s="223"/>
      <x:c r="M20" s="223"/>
      <x:c r="N20" s="223"/>
      <x:c r="O20" s="223"/>
      <x:c r="P20" s="223"/>
    </x:row>
    <x:row r="21" ht="34" customHeight="1">
      <x:c r="A21" s="276" t="str">
        <x:v>Amounts</x:v>
      </x:c>
      <x:c r="B21" s="277"/>
      <x:c r="C21" s="278" t="str">
        <x:v>Nominal consideration and conveyance-tax stamps are not sale prices. A mortgage ceiling is not a payoff amount.</x:v>
      </x:c>
      <x:c r="D21" s="279"/>
      <x:c r="E21" s="279"/>
      <x:c r="F21" s="280"/>
      <x:c r="G21" s="223"/>
      <x:c r="H21" s="223"/>
      <x:c r="I21" s="223"/>
      <x:c r="J21" s="223"/>
      <x:c r="K21" s="223"/>
      <x:c r="L21" s="223"/>
      <x:c r="M21" s="223"/>
      <x:c r="N21" s="223"/>
      <x:c r="O21" s="223"/>
      <x:c r="P21" s="223"/>
    </x:row>
    <x:row r="22" ht="34" customHeight="1">
      <x:c r="A22" s="276" t="str">
        <x:v>Relationships</x:v>
      </x:c>
      <x:c r="B22" s="277"/>
      <x:c r="C22" s="278" t="str">
        <x:v>Officer, partner, trustee, agent, preparer, and tax-mailing roles do not establish beneficial ownership.</x:v>
      </x:c>
      <x:c r="D22" s="279"/>
      <x:c r="E22" s="279"/>
      <x:c r="F22" s="280"/>
      <x:c r="G22" s="223"/>
      <x:c r="H22" s="223"/>
      <x:c r="I22" s="223"/>
      <x:c r="J22" s="223"/>
      <x:c r="K22" s="223"/>
      <x:c r="L22" s="223"/>
      <x:c r="M22" s="223"/>
      <x:c r="N22" s="223"/>
      <x:c r="O22" s="223"/>
      <x:c r="P22" s="223"/>
    </x:row>
    <x:row r="23">
      <x:c r="A23" s="223"/>
      <x:c r="B23" s="223"/>
      <x:c r="C23" s="223"/>
      <x:c r="D23" s="223"/>
      <x:c r="E23" s="223"/>
      <x:c r="F23" s="223"/>
      <x:c r="G23" s="223"/>
      <x:c r="H23" s="223"/>
      <x:c r="I23" s="223"/>
      <x:c r="J23" s="223"/>
      <x:c r="K23" s="223"/>
      <x:c r="L23" s="223"/>
      <x:c r="M23" s="223"/>
      <x:c r="N23" s="223"/>
      <x:c r="O23" s="223"/>
      <x:c r="P23" s="223"/>
    </x:row>
    <x:row r="24">
      <x:c r="A24" s="223"/>
      <x:c r="B24" s="223"/>
      <x:c r="C24" s="223"/>
      <x:c r="D24" s="223"/>
      <x:c r="E24" s="223"/>
      <x:c r="F24" s="223"/>
      <x:c r="G24" s="223"/>
      <x:c r="H24" s="223"/>
      <x:c r="I24" s="223"/>
      <x:c r="J24" s="223"/>
      <x:c r="K24" s="223"/>
      <x:c r="L24" s="223"/>
      <x:c r="M24" s="223"/>
      <x:c r="N24" s="223"/>
      <x:c r="O24" s="223"/>
      <x:c r="P24" s="223"/>
    </x:row>
    <x:row r="25">
      <x:c r="A25" s="281" t="str">
        <x:v>Highest-value remaining gaps</x:v>
      </x:c>
      <x:c r="B25" s="282"/>
      <x:c r="C25" s="282"/>
      <x:c r="D25" s="282"/>
      <x:c r="E25" s="282"/>
      <x:c r="F25" s="283"/>
      <x:c r="G25" s="223"/>
      <x:c r="H25" s="223"/>
      <x:c r="I25" s="223"/>
      <x:c r="J25" s="223"/>
      <x:c r="K25" s="223"/>
      <x:c r="L25" s="223"/>
      <x:c r="M25" s="223"/>
      <x:c r="N25" s="223"/>
      <x:c r="O25" s="223"/>
      <x:c r="P25" s="223"/>
    </x:row>
    <x:row r="26" ht="34" customHeight="1">
      <x:c r="A26" s="284" t="str">
        <x:v>1</x:v>
      </x:c>
      <x:c r="B26" s="278" t="str">
        <x:v>Eastern Ohio post-1995 corporate history and the statutory bridge to New Albany Company LLC.</x:v>
      </x:c>
      <x:c r="C26" s="279"/>
      <x:c r="D26" s="279"/>
      <x:c r="E26" s="279"/>
      <x:c r="F26" s="280"/>
      <x:c r="G26" s="223"/>
      <x:c r="H26" s="223"/>
      <x:c r="I26" s="223"/>
      <x:c r="J26" s="223"/>
      <x:c r="K26" s="223"/>
      <x:c r="L26" s="223"/>
      <x:c r="M26" s="223"/>
      <x:c r="N26" s="223"/>
      <x:c r="O26" s="223"/>
      <x:c r="P26" s="223"/>
    </x:row>
    <x:row r="27" ht="34" customHeight="1">
      <x:c r="A27" s="284" t="str">
        <x:v>2</x:v>
      </x:c>
      <x:c r="B27" s="278" t="str">
        <x:v>Licking County recorder access, including the cited New Albany declaration at OR 356 p.485.</x:v>
      </x:c>
      <x:c r="C27" s="279"/>
      <x:c r="D27" s="279"/>
      <x:c r="E27" s="279"/>
      <x:c r="F27" s="280"/>
      <x:c r="G27" s="223"/>
      <x:c r="H27" s="223"/>
      <x:c r="I27" s="223"/>
      <x:c r="J27" s="223"/>
      <x:c r="K27" s="223"/>
      <x:c r="L27" s="223"/>
      <x:c r="M27" s="223"/>
      <x:c r="N27" s="223"/>
      <x:c r="O27" s="223"/>
      <x:c r="P27" s="223"/>
    </x:row>
    <x:row r="28" ht="34" customHeight="1">
      <x:c r="A28" s="284" t="str">
        <x:v>3</x:v>
      </x:c>
      <x:c r="B28" s="278" t="str">
        <x:v>Parcel-centered lien sweep for HHD parcel 222-001350 and predecessor 222-293.</x:v>
      </x:c>
      <x:c r="C28" s="279"/>
      <x:c r="D28" s="279"/>
      <x:c r="E28" s="279"/>
      <x:c r="F28" s="280"/>
      <x:c r="G28" s="223"/>
      <x:c r="H28" s="223"/>
      <x:c r="I28" s="223"/>
      <x:c r="J28" s="223"/>
      <x:c r="K28" s="223"/>
      <x:c r="L28" s="223"/>
      <x:c r="M28" s="223"/>
      <x:c r="N28" s="223"/>
      <x:c r="O28" s="223"/>
      <x:c r="P28" s="223"/>
    </x:row>
    <x:row r="29" ht="34" customHeight="1">
      <x:c r="A29" s="284" t="str">
        <x:v>4</x:v>
      </x:c>
      <x:c r="B29" s="278" t="str">
        <x:v>KG downstream title after the apartment LP and two image-unavailable 1993 financing-statement releases.</x:v>
      </x:c>
      <x:c r="C29" s="279"/>
      <x:c r="D29" s="279"/>
      <x:c r="E29" s="279"/>
      <x:c r="F29" s="280"/>
      <x:c r="G29" s="223"/>
      <x:c r="H29" s="223"/>
      <x:c r="I29" s="223"/>
      <x:c r="J29" s="223"/>
      <x:c r="K29" s="223"/>
      <x:c r="L29" s="223"/>
      <x:c r="M29" s="223"/>
      <x:c r="N29" s="223"/>
      <x:c r="O29" s="223"/>
      <x:c r="P29" s="223"/>
    </x:row>
    <x:row r="30" ht="34" customHeight="1">
      <x:c r="A30" s="284" t="str">
        <x:v>5</x:v>
      </x:c>
      <x:c r="B30" s="278" t="str">
        <x:v>Four image-unavailable Park marginal UCC records.</x:v>
      </x:c>
      <x:c r="C30" s="279"/>
      <x:c r="D30" s="279"/>
      <x:c r="E30" s="279"/>
      <x:c r="F30" s="280"/>
      <x:c r="G30" s="223"/>
      <x:c r="H30" s="223"/>
      <x:c r="I30" s="223"/>
      <x:c r="J30" s="223"/>
      <x:c r="K30" s="223"/>
      <x:c r="L30" s="223"/>
      <x:c r="M30" s="223"/>
      <x:c r="N30" s="223"/>
      <x:c r="O30" s="223"/>
      <x:c r="P30" s="223"/>
    </x:row>
    <x:row r="31">
      <x:c r="A31" s="223"/>
      <x:c r="B31" s="223"/>
      <x:c r="C31" s="223"/>
      <x:c r="D31" s="223"/>
      <x:c r="E31" s="223"/>
      <x:c r="F31" s="223"/>
      <x:c r="G31" s="223"/>
      <x:c r="H31" s="223"/>
      <x:c r="I31" s="223"/>
      <x:c r="J31" s="223"/>
      <x:c r="K31" s="223"/>
      <x:c r="L31" s="223"/>
      <x:c r="M31" s="223"/>
      <x:c r="N31" s="223"/>
      <x:c r="O31" s="223"/>
      <x:c r="P31" s="223"/>
    </x:row>
    <x:row r="40">
      <x:c r="N40" t="str">
        <x:v>Family</x:v>
      </x:c>
      <x:c r="O40" t="str">
        <x:v>Image-reviewed instruments</x:v>
      </x:c>
    </x:row>
    <x:row r="41">
      <x:c r="N41" t="str">
        <x:f>'Entity Coverage'!B5</x:f>
        <x:v>INN Investment</x:v>
      </x:c>
      <x:c r="O41" t="n">
        <x:f>'Entity Coverage'!L5</x:f>
        <x:v>2</x:v>
      </x:c>
    </x:row>
    <x:row r="42">
      <x:c r="N42" t="str">
        <x:f>'Entity Coverage'!B6</x:f>
        <x:v>Cherry Bottom Investors / Properties</x:v>
      </x:c>
      <x:c r="O42" t="n">
        <x:f>'Entity Coverage'!L6</x:f>
        <x:v>25</x:v>
      </x:c>
    </x:row>
    <x:row r="43">
      <x:c r="N43" t="str">
        <x:f>'Entity Coverage'!B7</x:f>
        <x:v>West First Plaza</x:v>
      </x:c>
      <x:c r="O43" t="n">
        <x:f>'Entity Coverage'!L7</x:f>
        <x:v>0</x:v>
      </x:c>
    </x:row>
    <x:row r="44">
      <x:c r="N44" t="str">
        <x:f>'Entity Coverage'!B8</x:f>
        <x:v>Park Properties</x:v>
      </x:c>
      <x:c r="O44" t="n">
        <x:f>'Entity Coverage'!L8</x:f>
        <x:v>13</x:v>
      </x:c>
    </x:row>
    <x:row r="45">
      <x:c r="N45" t="str">
        <x:f>'Entity Coverage'!B9</x:f>
        <x:v>C-Wren / KG</x:v>
      </x:c>
      <x:c r="O45" t="n">
        <x:f>'Entity Coverage'!L9</x:f>
        <x:v>17</x:v>
      </x:c>
    </x:row>
    <x:row r="46">
      <x:c r="N46" t="str">
        <x:f>'Entity Coverage'!B10</x:f>
        <x:v>PFI Leasing</x:v>
      </x:c>
      <x:c r="O46" t="n">
        <x:f>'Entity Coverage'!L10</x:f>
        <x:v>0</x:v>
      </x:c>
    </x:row>
    <x:row r="47">
      <x:c r="N47" t="str">
        <x:f>'Entity Coverage'!B11</x:f>
        <x:v>LEWEX / Parkview</x:v>
      </x:c>
      <x:c r="O47" t="n">
        <x:f>'Entity Coverage'!L11</x:f>
        <x:v>1</x:v>
      </x:c>
    </x:row>
    <x:row r="48">
      <x:c r="N48" t="str">
        <x:f>'Entity Coverage'!B12</x:f>
        <x:v>Rocky Fork</x:v>
      </x:c>
      <x:c r="O48" t="n">
        <x:f>'Entity Coverage'!L12</x:f>
        <x:v>25</x:v>
      </x:c>
    </x:row>
    <x:row r="49">
      <x:c r="N49" t="str">
        <x:f>'Entity Coverage'!B13</x:f>
        <x:v>N.A. Property / New Albany</x:v>
      </x:c>
      <x:c r="O49" t="n">
        <x:f>'Entity Coverage'!L13</x:f>
        <x:v>3</x:v>
      </x:c>
    </x:row>
    <x:row r="50">
      <x:c r="N50" t="str">
        <x:f>'Entity Coverage'!B14</x:f>
        <x:v>Morsham / Eastern Ohio</x:v>
      </x:c>
      <x:c r="O50" t="n">
        <x:f>'Entity Coverage'!L14</x:f>
        <x:v>16</x:v>
      </x:c>
    </x:row>
    <x:row r="51">
      <x:c r="N51" t="str">
        <x:f>'Entity Coverage'!B15</x:f>
        <x:v>City Centre</x:v>
      </x:c>
      <x:c r="O51" t="n">
        <x:f>'Entity Coverage'!L15</x:f>
        <x:v>3</x:v>
      </x:c>
    </x:row>
    <x:row r="52">
      <x:c r="N52" t="str">
        <x:f>'Entity Coverage'!B16</x:f>
        <x:v>HHD</x:v>
      </x:c>
      <x:c r="O52" t="n">
        <x:f>'Entity Coverage'!L16</x:f>
        <x:v>8</x:v>
      </x:c>
    </x:row>
    <x:row r="53">
      <x:c r="N53" t="str">
        <x:f>'Entity Coverage'!B17</x:f>
        <x:v>1990 Family Property Trust A</x:v>
      </x:c>
      <x:c r="O53" t="n">
        <x:f>'Entity Coverage'!L17</x:f>
        <x:v>2</x:v>
      </x:c>
    </x:row>
  </x:sheetData>
  <x:mergeCells>
    <x:mergeCell ref="A1:P1"/>
    <x:mergeCell ref="A2:P2"/>
    <x:mergeCell ref="A4:C4"/>
    <x:mergeCell ref="A5:C6"/>
    <x:mergeCell ref="D4:F4"/>
    <x:mergeCell ref="D5:F6"/>
    <x:mergeCell ref="G4:I4"/>
    <x:mergeCell ref="G5:I6"/>
    <x:mergeCell ref="J4:L4"/>
    <x:mergeCell ref="J5:L6"/>
    <x:mergeCell ref="A8:F8"/>
    <x:mergeCell ref="A9:B9"/>
    <x:mergeCell ref="C9:F9"/>
    <x:mergeCell ref="A10:B10"/>
    <x:mergeCell ref="C10:F10"/>
    <x:mergeCell ref="A11:B11"/>
    <x:mergeCell ref="C11:F11"/>
    <x:mergeCell ref="A12:B12"/>
    <x:mergeCell ref="C12:F12"/>
    <x:mergeCell ref="A13:B13"/>
    <x:mergeCell ref="C13:F13"/>
    <x:mergeCell ref="A14:B14"/>
    <x:mergeCell ref="C14:F14"/>
    <x:mergeCell ref="A17:F17"/>
    <x:mergeCell ref="A18:B18"/>
    <x:mergeCell ref="C18:F18"/>
    <x:mergeCell ref="A19:B19"/>
    <x:mergeCell ref="C19:F19"/>
    <x:mergeCell ref="A20:B20"/>
    <x:mergeCell ref="C20:F20"/>
    <x:mergeCell ref="A21:B21"/>
    <x:mergeCell ref="C21:F21"/>
    <x:mergeCell ref="A22:B22"/>
    <x:mergeCell ref="C22:F22"/>
    <x:mergeCell ref="A25:F25"/>
    <x:mergeCell ref="B26:F26"/>
    <x:mergeCell ref="B27:F27"/>
    <x:mergeCell ref="B28:F28"/>
    <x:mergeCell ref="B29:F29"/>
    <x:mergeCell ref="B30:F30"/>
  </x:mergeCells>
  <x:pageMargins left="0.7" right="0.7" top="0.75" bottom="0.75" header="0.3" footer="0.3"/>
  <x:drawing xmlns:r="http://schemas.openxmlformats.org/officeDocument/2006/relationships" r:id="Rd6957dbaaaaa44e7"/>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8" hidden="0" customWidth="1"/>
    <x:col min="5" max="5" width="34" hidden="0" customWidth="1"/>
    <x:col min="6" max="6" width="13" hidden="0" customWidth="1"/>
    <x:col min="7" max="7" width="44" hidden="0" customWidth="1"/>
    <x:col min="8" max="8" width="34" hidden="0" customWidth="1"/>
    <x:col min="9" max="9" width="13" hidden="0" customWidth="1"/>
    <x:col min="10" max="10" width="44" hidden="0" customWidth="1"/>
    <x:col min="11" max="11" width="34" hidden="0" customWidth="1"/>
    <x:col min="12" max="12" width="13" hidden="0" customWidth="1"/>
    <x:col min="13" max="13" width="44" hidden="0" customWidth="1"/>
    <x:col min="14" max="14" width="34" hidden="0" customWidth="1"/>
    <x:col min="15" max="15" width="44" hidden="0" customWidth="1"/>
    <x:col min="16" max="16" width="28" hidden="0" customWidth="1"/>
    <x:col min="17" max="17" width="28" hidden="0" customWidth="1"/>
    <x:col min="18" max="18" width="44" hidden="0" customWidth="1"/>
  </x:cols>
  <x:sheetData>
    <x:row r="1" ht="30" customHeight="1">
      <x:c r="A1" s="3" t="str">
        <x:v>Core entity-family coverage</x:v>
      </x:c>
      <x:c r="B1" s="3"/>
      <x:c r="C1" s="3"/>
      <x:c r="D1" s="3"/>
      <x:c r="E1" s="3"/>
      <x:c r="F1" s="3"/>
      <x:c r="G1" s="3"/>
      <x:c r="H1" s="3"/>
      <x:c r="I1" s="3"/>
      <x:c r="J1" s="3"/>
      <x:c r="K1" s="3"/>
      <x:c r="L1" s="3"/>
      <x:c r="M1" s="3"/>
      <x:c r="N1" s="3"/>
      <x:c r="O1" s="3"/>
      <x:c r="P1" s="3"/>
      <x:c r="Q1" s="3"/>
      <x:c r="R1" s="3"/>
    </x:row>
    <x:row r="2" ht="36" customHeight="1">
      <x:c r="A2" s="12" t="str">
        <x:v>Counts distinguish exact Franklin party-index hits, precise OCR candidates, and materially image-reviewed instruments. A zero is bounded to the stated query scope.</x:v>
      </x:c>
      <x:c r="B2" s="13"/>
      <x:c r="C2" s="13"/>
      <x:c r="D2" s="13"/>
      <x:c r="E2" s="13"/>
      <x:c r="F2" s="13"/>
      <x:c r="G2" s="13"/>
      <x:c r="H2" s="13"/>
      <x:c r="I2" s="13"/>
      <x:c r="J2" s="13"/>
      <x:c r="K2" s="13"/>
      <x:c r="L2" s="13"/>
      <x:c r="M2" s="13"/>
      <x:c r="N2" s="13"/>
      <x:c r="O2" s="13"/>
      <x:c r="P2" s="13"/>
      <x:c r="Q2" s="13"/>
      <x:c r="R2" s="14"/>
    </x:row>
    <x:row r="4" ht="32" customHeight="1">
      <x:c r="A4" s="292" t="str">
        <x:v>family_key</x:v>
      </x:c>
      <x:c r="B4" s="293" t="str">
        <x:v>core_target_family</x:v>
      </x:c>
      <x:c r="C4" s="293" t="str">
        <x:v>ohio_entities_or_vehicle</x:v>
      </x:c>
      <x:c r="D4" s="293" t="str">
        <x:v>ohio_filing_status</x:v>
      </x:c>
      <x:c r="E4" s="293" t="str">
        <x:v>ohio_status_source</x:v>
      </x:c>
      <x:c r="F4" s="293" t="str">
        <x:v>franklin_party_index_count</x:v>
      </x:c>
      <x:c r="G4" s="293" t="str">
        <x:v>franklin_party_index_scope</x:v>
      </x:c>
      <x:c r="H4" s="293" t="str">
        <x:v>franklin_party_index_source</x:v>
      </x:c>
      <x:c r="I4" s="293" t="str">
        <x:v>franklin_ocr_count</x:v>
      </x:c>
      <x:c r="J4" s="293" t="str">
        <x:v>franklin_ocr_scope</x:v>
      </x:c>
      <x:c r="K4" s="293" t="str">
        <x:v>franklin_ocr_source</x:v>
      </x:c>
      <x:c r="L4" s="293" t="str">
        <x:v>image_reviewed_instrument_count</x:v>
      </x:c>
      <x:c r="M4" s="293" t="str">
        <x:v>image_review_scope</x:v>
      </x:c>
      <x:c r="N4" s="293" t="str">
        <x:v>image_review_source</x:v>
      </x:c>
      <x:c r="O4" s="293" t="str">
        <x:v>key_property_or_role_conclusion</x:v>
      </x:c>
      <x:c r="P4" s="293" t="str">
        <x:v>merger_or_successor_state</x:v>
      </x:c>
      <x:c r="Q4" s="293" t="str">
        <x:v>epstein_capacity</x:v>
      </x:c>
      <x:c r="R4" s="294" t="str">
        <x:v>limitations</x:v>
      </x:c>
    </x:row>
    <x:row r="5" ht="68" customHeight="1">
      <x:c r="A5" s="302" t="str">
        <x:v>inn_investment</x:v>
      </x:c>
      <x:c r="B5" s="302" t="str">
        <x:v>INN Investment</x:v>
      </x:c>
      <x:c r="C5" s="302" t="str">
        <x:v>INN Investment Corp. (Ohio 678033); BI Limited Partnership</x:v>
      </x:c>
      <x:c r="D5" s="302" t="str">
        <x:v>INN dissolved 1992-06-02; BI partnership status not determined in this review.</x:v>
      </x:c>
      <x:c r="E5" s="302" t="str">
        <x:v>investigations/epstein/ohio-corporate-property-index.csv; investigations/epstein/dorothy-snow-ohio-entity-analysis.md</x:v>
      </x:c>
      <x:c r="F5" s="308" t="n">
        <x:v>0</x:v>
      </x:c>
      <x:c r="G5" s="302" t="str">
        <x:v>Exact Franklin RP party-name variants for INN Investment, all advertised history.</x:v>
      </x:c>
      <x:c r="H5" s="302" t="str">
        <x:v>/tmp/osint-7Vd0k25d/report-agent-franklin-index.md; /tmp/osint-7Vd0k25d/franklin-index-raw.json</x:v>
      </x:c>
      <x:c r="I5" s="308" t="n">
        <x:v>2</x:v>
      </x:c>
      <x:c r="J5" s="302" t="str">
        <x:v>Two unique OCR results for the fully exhausted query INN Investment Corp; the Corporation spelling returned zero.</x:v>
      </x:c>
      <x:c r="K5" s="302" t="str">
        <x:v>/tmp/osint-7Vd0k25d/franklin-entity-ocr-pagination.json; /tmp/osint-7Vd0k25d/franklin-entity-ocr-search-pages/ithildin-franklin-oh-entity-ocr-inn_investment-02-inn-investment-corp-offset-0000000.json</x:v>
      </x:c>
      <x:c r="L5" s="308" t="n">
        <x:v>2</x:v>
      </x:c>
      <x:c r="M5" s="302" t="str">
        <x:v>1986 BI limited-partnership certificate and 1992 amendment stating INN withdrew.</x:v>
      </x:c>
      <x:c r="N5" s="302" t="str">
        <x:v>/tmp/osint-7Vd0k25d/normalized-parcel-chronology.csv; /tmp/osint-7Vd0k25d/finding-inn-bi-partnership.json; /tmp/osint-7Vd0k25d/finding-inn-withdrawal.json</x:v>
      </x:c>
      <x:c r="O5" s="302" t="str">
        <x:v>INN was a limited partner in a Columbus hotel venture, with conditional capital and deficit obligations; no reviewed deed places fee title in INN.</x:v>
      </x:c>
      <x:c r="P5" s="302" t="str">
        <x:v>No merger. Ohio dissolution names no corporate survivor; recorder amendment says INN withdrew from BI and does not identify that exit as a merger.</x:v>
      </x:c>
      <x:c r="Q5" s="302" t="str">
        <x:v>President in the 1992 Ohio dissolution; no Epstein signature or title role was identified in the two reviewed recorder instruments.</x:v>
      </x:c>
      <x:c r="R5" s="302" t="str">
        <x:v>No hotel parcel or record-title owner was identified. Partnership contributions are not a purchase price, mortgage, or proof of fee ownership. A zero party-name result is not proof of no property held through a partnership or alias.</x:v>
      </x:c>
    </x:row>
    <x:row r="6" ht="68" customHeight="1">
      <x:c r="A6" s="303" t="str">
        <x:v>cherry_bottom</x:v>
      </x:c>
      <x:c r="B6" s="303" t="str">
        <x:v>Cherry Bottom Investors / Properties</x:v>
      </x:c>
      <x:c r="C6" s="303" t="str">
        <x:v>Cherry Bottom Investors, Inc. (Ohio 719718); Cherry Bottom Properties, Inc. (Ohio 719719); Cherry Bottom Development Company No. 4</x:v>
      </x:c>
      <x:c r="D6" s="303" t="str">
        <x:v>Investors merged out 1990-08-31; Properties survived that merger and later dissolved 1998-12-28.</x:v>
      </x:c>
      <x:c r="E6" s="303" t="str">
        <x:v>investigations/epstein/ohio-corporate-property-index.csv; investigations/epstein/dorothy-snow-ohio-entity-analysis.md</x:v>
      </x:c>
      <x:c r="F6" s="309" t="n">
        <x:v>25</x:v>
      </x:c>
      <x:c r="G6" s="303" t="str">
        <x:v>Twenty-four exact-party instruments for Properties plus one Investors-named easement.</x:v>
      </x:c>
      <x:c r="H6" s="303" t="str">
        <x:v>/tmp/osint-7Vd0k25d/report-agent-franklin-index.md; /tmp/osint-7Vd0k25d/franklin-index-hits.csv</x:v>
      </x:c>
      <x:c r="I6" s="309" t="n">
        <x:v>35</x:v>
      </x:c>
      <x:c r="J6" s="303" t="str">
        <x:v>Thirty-five unique doc_ids across fully exhausted exact-suffix OCR queries Cherry Bottom Properties Inc and Cherry Bottom Investors Inc; the component query totals were 32 and 4 with one overlapping instrument.</x:v>
      </x:c>
      <x:c r="K6" s="303" t="str">
        <x:v>/tmp/osint-7Vd0k25d/franklin-entity-ocr-variant-gap.json; /tmp/osint-7Vd0k25d/franklin-entity-ocr-variant-gap-pages/ithildin-franklin-oh-gap-13-cherry_bottom_investors-cherry-bottom-investors-inc-offset-0000000.json; /tmp/osint-7Vd0k25d/franklin-entity-ocr-variant-gap-pages/ithildin-franklin-oh-gap-14-cherry_bottom_properties-cherry-bottom-properties-inc-offset-0000000.json</x:v>
      </x:c>
      <x:c r="L6" s="309" t="n">
        <x:v>25</x:v>
      </x:c>
      <x:c r="M6" s="303" t="str">
        <x:v>Complete family: 25 unique instruments and 162 public recorder-image pages.</x:v>
      </x:c>
      <x:c r="N6" s="303" t="str">
        <x:v>/tmp/osint-7Vd0k25d/report-agent-cherry-bottom-family.md; /tmp/osint-7Vd0k25d/cherry-bottom-instrument-ledger.csv</x:v>
      </x:c>
      <x:c r="O6" s="303" t="str">
        <x:v>Development Company No. 4 conveyed interests to surviving Properties; Properties conveyed a 33.664-acre tract to KG and held a subordinate 1.08-million-dollar seller mortgage, later satisfied; additional Gahanna-area dispositions continued through 1998.</x:v>
      </x:c>
      <x:c r="P6" s="303" t="str">
        <x:v>Ohio merger agreement expressly makes Properties the survivor of Investors effective 1990-08-31. The 1991 Investors signature-chain easement is best treated as stale or defective partner wording, not proof of revival; the underlying partnership amendment remains missing.</x:v>
      </x:c>
      <x:c r="Q6" s="303" t="str">
        <x:v>Signed the merger as Investors president and Properties vice president; signed 1991 and 1992 Properties deeds as vice president; separately approved the 1991 plan as Rocky Fork president.</x:v>
      </x:c>
      <x:c r="R6" s="303" t="str">
        <x:v>Acreages overlap and include fractional interests, so they cannot be summed. Nominal consideration and tax stamps are not market prices. Officer execution is not beneficial ownership. The Development Company No. 4 partner-substitution file is not in the reviewed family.</x:v>
      </x:c>
    </x:row>
    <x:row r="7" ht="68" customHeight="1">
      <x:c r="A7" s="303" t="str">
        <x:v>west_first_plaza</x:v>
      </x:c>
      <x:c r="B7" s="303" t="str">
        <x:v>West First Plaza</x:v>
      </x:c>
      <x:c r="C7" s="303" t="str">
        <x:v>West First Plaza, Inc. (Ohio 777500)</x:v>
      </x:c>
      <x:c r="D7" s="303" t="str">
        <x:v>Dissolved 1992-12-22; no corporate survivor named.</x:v>
      </x:c>
      <x:c r="E7" s="303" t="str">
        <x:v>investigations/epstein/ohio-corporate-property-index.csv; investigations/epstein/dorothy-snow-ohio-entity-analysis.md</x:v>
      </x:c>
      <x:c r="F7" s="309" t="n">
        <x:v>0</x:v>
      </x:c>
      <x:c r="G7" s="303" t="str">
        <x:v>Exact Franklin RP party-name variants for West First Plaza, all advertised history.</x:v>
      </x:c>
      <x:c r="H7" s="303" t="str">
        <x:v>/tmp/osint-7Vd0k25d/report-agent-franklin-index.md; /tmp/osint-7Vd0k25d/franklin-index-raw.json</x:v>
      </x:c>
      <x:c r="I7" s="309" t="n">
        <x:v>0</x:v>
      </x:c>
      <x:c r="J7" s="303" t="str">
        <x:v>Fully exhausted OCR queries West First Plaza and West First Plaza Inc.</x:v>
      </x:c>
      <x:c r="K7" s="303" t="str">
        <x:v>/tmp/osint-7Vd0k25d/franklin-entity-ocr-pagination.json; /tmp/osint-7Vd0k25d/franklin-entity-ocr-variant-gap.json</x:v>
      </x:c>
      <x:c r="L7" s="309" t="n">
        <x:v>0</x:v>
      </x:c>
      <x:c r="M7" s="303" t="str">
        <x:v>No Franklin candidate instrument was available from the exact-party or OCR waves for image review.</x:v>
      </x:c>
      <x:c r="N7" s="303" t="str">
        <x:v>/tmp/osint-7Vd0k25d/report-agent-franklin-index.md; /tmp/osint-7Vd0k25d/franklin-entity-ocr-pagination.json; /tmp/osint-7Vd0k25d/franklin-entity-ocr-variant-gap.json</x:v>
      </x:c>
      <x:c r="O7" s="303" t="str">
        <x:v>No Franklin property role was identified in this wave.</x:v>
      </x:c>
      <x:c r="P7" s="303" t="str">
        <x:v>Dissolution, not merger; no survivor or asset recipient in the reviewed Ohio packet.</x:v>
      </x:c>
      <x:c r="Q7" s="303" t="str">
        <x:v>President in the 1992 dissolution; Wexner was listed director.</x:v>
      </x:c>
      <x:c r="R7" s="303" t="str">
        <x:v>Recorder zeros do not rule out instruments indexed under a partnership, predecessor, affiliate, parcel, individual signer, or OCR-unreadable image. The Ohio no-personal-property affidavit does not address real estate.</x:v>
      </x:c>
    </x:row>
    <x:row r="8" ht="68" customHeight="1">
      <x:c r="A8" s="303" t="str">
        <x:v>park_properties</x:v>
      </x:c>
      <x:c r="B8" s="303" t="str">
        <x:v>Park Properties</x:v>
      </x:c>
      <x:c r="C8" s="303" t="str">
        <x:v>Park Properties, Inc. (Ohio 626053); C.H. Development Group</x:v>
      </x:c>
      <x:c r="D8" s="303" t="str">
        <x:v>Dissolved 1992-12-22; no corporate survivor named.</x:v>
      </x:c>
      <x:c r="E8" s="303" t="str">
        <x:v>investigations/epstein/ohio-corporate-property-index.csv; investigations/epstein/dorothy-snow-ohio-entity-analysis.md</x:v>
      </x:c>
      <x:c r="F8" s="309" t="n">
        <x:v>13</x:v>
      </x:c>
      <x:c r="G8" s="303" t="str">
        <x:v>Thirteen exact-name Franklin party hits: twelve true Park corporate instruments plus one Goldberger d/b/a Park Properties collision.</x:v>
      </x:c>
      <x:c r="H8" s="303" t="str">
        <x:v>/tmp/osint-7Vd0k25d/report-agent-franklin-index.md; /tmp/osint-7Vd0k25d/report-agent-park-properties-family.md</x:v>
      </x:c>
      <x:c r="I8" s="309" t="n">
        <x:v>26</x:v>
      </x:c>
      <x:c r="J8" s="303" t="str">
        <x:v>Fully exhausted OCR query Park Properties Inc; twelve results were true corporate instruments and fourteen were token-matching false positives; Incorporated returned zero.</x:v>
      </x:c>
      <x:c r="K8" s="303" t="str">
        <x:v>/tmp/osint-7Vd0k25d/franklin-entity-ocr-pagination.json; /tmp/osint-7Vd0k25d/report-agent-park-properties-family.md</x:v>
      </x:c>
      <x:c r="L8" s="309" t="n">
        <x:v>13</x:v>
      </x:c>
      <x:c r="M8" s="303" t="str">
        <x:v>Thirteen ledger instruments had public images and were materially reviewed; four additional marginal UCC rows had official metadata but no public page image.</x:v>
      </x:c>
      <x:c r="N8" s="303" t="str">
        <x:v>/tmp/osint-7Vd0k25d/report-agent-park-properties-family.md; /tmp/osint-7Vd0k25d/park-properties-instrument-ledger.csv</x:v>
      </x:c>
      <x:c r="O8" s="303" t="str">
        <x:v>Park was a C.H. Development Group general partner and mortgagee, not fee owner. One partnership loan was capped at 5 million dollars; Fried's 23-percent guaranty was secured up to 1.15 million dollars. Two of three consecutive mortgage records were recorder-error duplicates; the operative lien was satisfied in 1990.</x:v>
      </x:c>
      <x:c r="P8" s="303" t="str">
        <x:v>No recorder-image merger, successor, mortgage assignment, or post-dissolution corporate title act. Ohio dissolution names no asset recipient.</x:v>
      </x:c>
      <x:c r="Q8" s="303" t="str">
        <x:v>Vice president in the 1992 Ohio dissolution. No reviewed Park recorder image names Epstein, Wexner, or Dorothy Snow; Harold Levin is the visible Park signer.</x:v>
      </x:c>
      <x:c r="R8" s="303" t="str">
        <x:v>Do not total the three 5-million-dollar index fields. Four Brungarth/Cravener UCC pages remain inaccessible and cannot support a secured-party, collateral, assignment, or successor conclusion. The Goldberger d/b/a record is a name collision.</x:v>
      </x:c>
    </x:row>
    <x:row r="9" ht="68" customHeight="1">
      <x:c r="A9" s="303" t="str">
        <x:v>c_wren_kg</x:v>
      </x:c>
      <x:c r="B9" s="303" t="str">
        <x:v>C-Wren / KG</x:v>
      </x:c>
      <x:c r="C9" s="303" t="str">
        <x:v>C-Wren Investment Corp. (Ohio 803531); KG Partners; Christopher Wren Apartments Limited Partnership</x:v>
      </x:c>
      <x:c r="D9" s="303" t="str">
        <x:v>C-Wren dissolved 1993-12-30; KG and apartment-partnership filing status was not determined in this review.</x:v>
      </x:c>
      <x:c r="E9" s="303" t="str">
        <x:v>investigations/epstein/ohio-corporate-property-index.csv; investigations/epstein/dorothy-snow-ohio-entity-analysis.md</x:v>
      </x:c>
      <x:c r="F9" s="309" t="n">
        <x:v>0</x:v>
      </x:c>
      <x:c r="G9" s="303" t="str">
        <x:v>Exact target-name party-index count for C-Wren. A separate structural pivot to KG Partners produced 19 true KG-family party-index instruments from 21 unique results after excluding two PKG false positives.</x:v>
      </x:c>
      <x:c r="H9" s="303" t="str">
        <x:v>/tmp/osint-7Vd0k25d/report-agent-franklin-index.md; /tmp/osint-7Vd0k25d/report-agent-c-wren-kg-family.md; /tmp/osint-7Vd0k25d/franklin-kg-party-search.json</x:v>
      </x:c>
      <x:c r="I9" s="309" t="n">
        <x:v>2</x:v>
      </x:c>
      <x:c r="J9" s="303" t="str">
        <x:v>Two precise full-text OCR hits for C-Wren Investment Corp; punctuation/Corporation alternatives returned zero.</x:v>
      </x:c>
      <x:c r="K9" s="303" t="str">
        <x:v>/tmp/osint-7Vd0k25d/franklin-entity-ocr-variant-gap.json; /tmp/osint-7Vd0k25d/report-agent-c-wren-kg-family.md</x:v>
      </x:c>
      <x:c r="L9" s="309" t="n">
        <x:v>17</x:v>
      </x:c>
      <x:c r="M9" s="303" t="str">
        <x:v>Seventeen of 19 true KG-family instruments had public images and were OCRed/visually reviewed; two financing-statement releases had no retrievable pages.</x:v>
      </x:c>
      <x:c r="N9" s="303" t="str">
        <x:v>/tmp/osint-7Vd0k25d/report-agent-c-wren-kg-family.md; /tmp/osint-7Vd0k25d/c-wren-kg-instrument-ledger.csv</x:v>
      </x:c>
      <x:c r="O9" s="303" t="str">
        <x:v>C-Wren and K-L were KG's two named members. KG acquired the Cherry Bottom tract, obtained a 12-million-dollar Bank One mortgage plus a 1.08-million-dollar seller mortgage, conveyed to Christopher Wren Apartments LP, and separately released both recorded mortgages in 1993.</x:v>
      </x:c>
      <x:c r="P9" s="303" t="str">
        <x:v>No reviewed C-Wren merger. This is a partnership, title, and financing chain; two KG financing-statement release images remain unavailable.</x:v>
      </x:c>
      <x:c r="Q9" s="303" t="str">
        <x:v>Signed the 1991 KG certificate and 1993 road deed as C-Wren vice president; dissolution also lists him as vice president and treasurer.</x:v>
      </x:c>
      <x:c r="R9" s="303" t="str">
        <x:v>Neither instrument states C-Wren's or K-L's percentage in KG, allocates KG's 50-percent apartment-partnership interest between them, or proves Epstein beneficial ownership. Releases state satisfaction but not payoff amounts.</x:v>
      </x:c>
    </x:row>
    <x:row r="10" ht="68" customHeight="1">
      <x:c r="A10" s="303" t="str">
        <x:v>pfi_leasing</x:v>
      </x:c>
      <x:c r="B10" s="303" t="str">
        <x:v>PFI Leasing</x:v>
      </x:c>
      <x:c r="C10" s="303" t="str">
        <x:v>PFI Leasing, Inc. (Ohio 624047)</x:v>
      </x:c>
      <x:c r="D10" s="303" t="str">
        <x:v>Dissolved 1990-12-26; no corporate survivor named.</x:v>
      </x:c>
      <x:c r="E10" s="303" t="str">
        <x:v>investigations/epstein/ohio-corporate-property-index.csv; investigations/epstein/dorothy-snow-ohio-entity-analysis.md</x:v>
      </x:c>
      <x:c r="F10" s="309" t="n">
        <x:v>0</x:v>
      </x:c>
      <x:c r="G10" s="303" t="str">
        <x:v>Exact Franklin RP party-name variants for PFI Leasing, all advertised history.</x:v>
      </x:c>
      <x:c r="H10" s="303" t="str">
        <x:v>/tmp/osint-7Vd0k25d/report-agent-franklin-index.md; /tmp/osint-7Vd0k25d/franklin-index-raw.json</x:v>
      </x:c>
      <x:c r="I10" s="309" t="n">
        <x:v>0</x:v>
      </x:c>
      <x:c r="J10" s="303" t="str">
        <x:v>Fully exhausted OCR queries PFI Leasing and PFI Leasing Inc.</x:v>
      </x:c>
      <x:c r="K10" s="303" t="str">
        <x:v>/tmp/osint-7Vd0k25d/franklin-entity-ocr-pagination.json; /tmp/osint-7Vd0k25d/franklin-entity-ocr-variant-gap.json</x:v>
      </x:c>
      <x:c r="L10" s="309" t="n">
        <x:v>0</x:v>
      </x:c>
      <x:c r="M10" s="303" t="str">
        <x:v>No Franklin candidate instrument was available from the exact-party or OCR waves for image review.</x:v>
      </x:c>
      <x:c r="N10" s="303" t="str">
        <x:v>/tmp/osint-7Vd0k25d/report-agent-franklin-index.md; /tmp/osint-7Vd0k25d/franklin-entity-ocr-pagination.json; /tmp/osint-7Vd0k25d/franklin-entity-ocr-variant-gap.json</x:v>
      </x:c>
      <x:c r="O10" s="303" t="str">
        <x:v>No Franklin parcel, lease, or financing asset was identified in this wave.</x:v>
      </x:c>
      <x:c r="P10" s="303" t="str">
        <x:v>Dissolution, not merger; no survivor or asset recipient in the reviewed Ohio packet.</x:v>
      </x:c>
      <x:c r="Q10" s="303" t="str">
        <x:v>Vice president and treasurer in the 1990 dissolution; Wexner was director and president.</x:v>
      </x:c>
      <x:c r="R10" s="303" t="str">
        <x:v>Zero name-search results do not rule out leased assets, property held under another entity, parcel-only indexing, or unreadable historical images. The dissolution's no-personal-property language does not resolve real estate.</x:v>
      </x:c>
    </x:row>
    <x:row r="11" ht="68" customHeight="1">
      <x:c r="A11" s="303" t="str">
        <x:v>lewex_parkview</x:v>
      </x:c>
      <x:c r="B11" s="303" t="str">
        <x:v>LEWEX / Parkview</x:v>
      </x:c>
      <x:c r="C11" s="303" t="str">
        <x:v>Parkview Financial, Inc., formerly LEWEX, INC. (Ohio 623762); separate LEWEX, Inc., formerly Samax Trading Corporation (Ohio 658220)</x:v>
      </x:c>
      <x:c r="D11" s="303" t="str">
        <x:v>Parkview/former LEWEX dissolved 1990-12-26; separate LEWEX/former Samax dissolved 1992-12-22.</x:v>
      </x:c>
      <x:c r="E11" s="303" t="str">
        <x:v>investigations/epstein/ohio-corporate-property-index.csv; investigations/epstein/dorothy-snow-ohio-entity-analysis.md</x:v>
      </x:c>
      <x:c r="F11" s="309" t="n">
        <x:v>0</x:v>
      </x:c>
      <x:c r="G11" s="303" t="str">
        <x:v>Exact target-party count for LEWEX and Parkview Financial across the complete Franklin wave.</x:v>
      </x:c>
      <x:c r="H11" s="303" t="str">
        <x:v>/tmp/osint-7Vd0k25d/report-agent-franklin-index.md; /tmp/osint-7Vd0k25d/franklin-index-raw.json</x:v>
      </x:c>
      <x:c r="I11" s="309" t="n">
        <x:v>0</x:v>
      </x:c>
      <x:c r="J11" s="303" t="str">
        <x:v>Precise suffix OCR queries LEWEX Inc and Parkview Financial Inc returned zero. Broader discovery queries returned three LEWEX OCR false positives and one genuine Parkview Financial prior-mortgage text reference.</x:v>
      </x:c>
      <x:c r="K11" s="303" t="str">
        <x:v>/tmp/osint-7Vd0k25d/franklin-entity-ocr-pagination.json; /tmp/osint-7Vd0k25d/franklin-entity-ocr-variant-gap.json; /tmp/osint-7Vd0k25d/franklin-entity-ocr-search-pages/ithildin-franklin-oh-entity-ocr-lewex-17-lewex-offset-0000000.json; /tmp/osint-7Vd0k25d/franklin-entity-ocr-search-pages/ithildin-franklin-oh-entity-ocr-parkview_financial-18-parkview-financial-offset-0000000.json</x:v>
      </x:c>
      <x:c r="L11" s="309" t="n">
        <x:v>1</x:v>
      </x:c>
      <x:c r="M11" s="303" t="str">
        <x:v>One 1984 mortgage image was reviewed because its prior-mortgage field names Parkview Financial and a 20,622.43-dollar balance.</x:v>
      </x:c>
      <x:c r="N11" s="303" t="str">
        <x:v>/tmp/osint-7Vd0k25d/finding-parkview-prior-mortgage.json; /tmp/osint-7Vd0k25d/franklin-reviewed-pages/parkview-financial-prior-mortgage-1984</x:v>
      </x:c>
      <x:c r="O11" s="303" t="str">
        <x:v>A 1984 mortgage names Parkview Financial as a prior mortgagee with a stated balance, but the record does not print an Ohio charter number and does not itself establish the identity join to Ohio 623762. The three broad LEWEX hits were OCR errors, not entity records.</x:v>
      </x:c>
      <x:c r="P11" s="303" t="str">
        <x:v>Both Ohio corporations dissolved rather than merged and name no successor. They are legally distinct despite the shared LEWEX name at different times.</x:v>
      </x:c>
      <x:c r="Q11" s="303" t="str">
        <x:v>Vice president and treasurer in both terminal Ohio filings; no reviewed Franklin property image shows Epstein acting for either company.</x:v>
      </x:c>
      <x:c r="R11" s="303" t="str">
        <x:v>Do not collapse Ohio 623762 and 658220. The Parkview reference is an encumbrance recital, not a complete mortgage chain or title record, and the charter identity remains a bounded inference. Broad OCR can hallucinate the token LEWEX from unrelated handwriting/text.</x:v>
      </x:c>
    </x:row>
    <x:row r="12" ht="68" customHeight="1">
      <x:c r="A12" s="303" t="str">
        <x:v>rocky_fork</x:v>
      </x:c>
      <x:c r="B12" s="303" t="str">
        <x:v>Rocky Fork</x:v>
      </x:c>
      <x:c r="C12" s="303" t="str">
        <x:v>Rocky Fork Development Corporation (Ohio 706978); The New Albany Company Ohio general partnership; predecessor land companies</x:v>
      </x:c>
      <x:c r="D12" s="303" t="str">
        <x:v>Rocky Fork survived a 1987 merger with Bearce Hollow and dissolved 1992-12-29.</x:v>
      </x:c>
      <x:c r="E12" s="303" t="str">
        <x:v>investigations/epstein/ohio-corporate-property-index.csv; investigations/epstein/dorothy-snow-ohio-entity-analysis.md</x:v>
      </x:c>
      <x:c r="F12" s="309" t="n">
        <x:v>12</x:v>
      </x:c>
      <x:c r="G12" s="303" t="str">
        <x:v>Twelve exact-party Franklin results for Rocky Fork Development.</x:v>
      </x:c>
      <x:c r="H12" s="303" t="str">
        <x:v>/tmp/osint-7Vd0k25d/report-agent-franklin-index.md; /tmp/osint-7Vd0k25d/franklin-index-hits.csv</x:v>
      </x:c>
      <x:c r="I12" s="309" t="n">
        <x:v>3</x:v>
      </x:c>
      <x:c r="J12" s="303" t="str">
        <x:v>Precise full-name OCR query Rocky Fork Development Corp returned three results; the broader Rocky Fork Development query returned 242 token/reference results and was used only as a discovery pool.</x:v>
      </x:c>
      <x:c r="K12" s="303" t="str">
        <x:v>/tmp/osint-7Vd0k25d/franklin-entity-ocr-variant-gap.json; /tmp/osint-7Vd0k25d/franklin-entity-ocr-pagination.json; /tmp/osint-7Vd0k25d/report-agent-rocky-fork-family.md</x:v>
      </x:c>
      <x:c r="L12" s="309" t="n">
        <x:v>25</x:v>
      </x:c>
      <x:c r="M12" s="303" t="str">
        <x:v>Twenty-five instruments and 74 pages in the reviewed exact-party, predecessor, transition, financing-test, and collision-control family.</x:v>
      </x:c>
      <x:c r="N12" s="303" t="str">
        <x:v>/tmp/osint-7Vd0k25d/report-agent-rocky-fork-family.md; /tmp/osint-7Vd0k25d/rocky-fork-instrument-ledger.csv</x:v>
      </x:c>
      <x:c r="O12" s="303" t="str">
        <x:v>Four 1987 deeds identify Rocky Fork as successor by merger to Hinson, Brewer Farms, Central Falls, and Bearce Hollow and convey their described land to The New Albany Company. A 1992 confirmatory deed moves the Ohio partnership's Franklin property to the Delaware LP before Rocky Fork's dissolution.</x:v>
      </x:c>
      <x:c r="P12" s="303" t="str">
        <x:v>Ohio filing proves Bearce Hollow into Rocky Fork. Recorder deeds additionally recite Rocky Fork as successor to Hinson, Brewer, and Central Falls and identify the immediate land recipient. The 1992 successor is the New Albany partnership/asset transition, not a merger of Rocky Fork itself.</x:v>
      </x:c>
      <x:c r="Q12" s="303" t="str">
        <x:v>Signed a 1991 amended New Albany partnership certificate as Rocky Fork president and Community Projects vice president; the 1992 Ohio dissolution lists him as Rocky Fork vice president.</x:v>
      </x:c>
      <x:c r="R12" s="303" t="str">
        <x:v>Recorder successor recitals are land-title/capacity evidence, not substitutes for every statutory merger filing. The 1992 omnibus deed is not a parcel-by-parcel abstract. A 1998 marginal hit was a cross-book volume/page collision and does not show a post-dissolution Rocky Fork act.</x:v>
      </x:c>
    </x:row>
    <x:row r="13" ht="68" customHeight="1">
      <x:c r="A13" s="303" t="str">
        <x:v>na_property_new_albany</x:v>
      </x:c>
      <x:c r="B13" s="303" t="str">
        <x:v>N.A. Property / New Albany</x:v>
      </x:c>
      <x:c r="C13" s="303" t="str">
        <x:v>N.A. Property, Inc. (Ohio 832364); The New Albany Company Limited Partnership (Ohio 958102); The New Albany Company LLC (Ohio 1034132)</x:v>
      </x:c>
      <x:c r="D13" s="303" t="str">
        <x:v>N.A. Property and New Albany Company LLC are active in the reviewed Ohio index; the limited partnership merged into the LLC in 1998.</x:v>
      </x:c>
      <x:c r="E13" s="303" t="str">
        <x:v>investigations/epstein/ohio-corporate-property-index.csv; investigations/epstein/ohio-corporate-property-analysis.md</x:v>
      </x:c>
      <x:c r="F13" s="309" t="n">
        <x:v>3</x:v>
      </x:c>
      <x:c r="G13" s="303" t="str">
        <x:v>Two 1992 N.A. Property partnership records and one 2002 notice of commencement.</x:v>
      </x:c>
      <x:c r="H13" s="303" t="str">
        <x:v>/tmp/osint-7Vd0k25d/report-agent-franklin-index.md; /tmp/osint-7Vd0k25d/franklin-index-hits.csv</x:v>
      </x:c>
      <x:c r="I13" s="309" t="n">
        <x:v>22</x:v>
      </x:c>
      <x:c r="J13" s="303" t="str">
        <x:v>Fully exhausted precise full-name OCR query N.A. Property Inc.</x:v>
      </x:c>
      <x:c r="K13" s="303" t="str">
        <x:v>/tmp/osint-7Vd0k25d/franklin-entity-ocr-variant-gap.json; /tmp/osint-7Vd0k25d/franklin-entity-ocr-variant-gap-pages/ithildin-franklin-oh-gap-11-na_property-n-a-property-inc-offset-0000000.json</x:v>
      </x:c>
      <x:c r="L13" s="309" t="n">
        <x:v>3</x:v>
      </x:c>
      <x:c r="M13" s="303" t="str">
        <x:v>The two 1992 partnership instruments and the 2002 School House notice were materially image reviewed.</x:v>
      </x:c>
      <x:c r="N13" s="303" t="str">
        <x:v>/tmp/osint-7Vd0k25d/normalized-parcel-chronology.csv; /tmp/osint-7Vd0k25d/finding-na-original-partnership.json; /tmp/osint-7Vd0k25d/finding-na-school-house.json</x:v>
      </x:c>
      <x:c r="O13" s="303" t="str">
        <x:v>N.A. Property was a general partner of the New Albany LP. The 2002 notice lists Wexner and N.A. Property as owner, part owner, or lessee contracting for improvements to a 2.549-acre Kitzmiller Road School House tract; it is not a deed.</x:v>
      </x:c>
      <x:c r="P13" s="303" t="str">
        <x:v>The Ohio general partnership's property and declarant roles shifted to the Delaware LP in 1992. The LP later merged into New Albany Company LLC in 1998. Partner status does not itself show that N.A. Property held fee title.</x:v>
      </x:c>
      <x:c r="Q13" s="303" t="str">
        <x:v>President in multiple Ohio filings and signer for N.A. Property in the 1992 partnership instruments; a later reported resignation date lacks the underlying primary resignation record in this review.</x:v>
      </x:c>
      <x:c r="R13" s="303" t="str">
        <x:v>The 22 OCR hits were not all converted into a parcel/title family. The School House fee-owner field is conditional and blank; lender None concerns improvement financing only. Current active status does not prove Epstein remains an officer.</x:v>
      </x:c>
    </x:row>
    <x:row r="14" ht="68" customHeight="1">
      <x:c r="A14" s="303" t="str">
        <x:v>morsham_eastern_ohio</x:v>
      </x:c>
      <x:c r="B14" s="303" t="str">
        <x:v>Morsham / Eastern Ohio</x:v>
      </x:c>
      <x:c r="C14" s="303" t="str">
        <x:v>Morsham Land Corporation (Ohio 712296); Eastern Ohio Holding Company, Inc. (Ohio 855092); The New Albany Company entities</x:v>
      </x:c>
      <x:c r="D14" s="303" t="str">
        <x:v>Morsham merged into surviving Eastern Ohio Holding Company, Inc. on 1995-12-29; later Eastern Ohio and New Albany entity status is not used here to infer the subsequent statutory chain.</x:v>
      </x:c>
      <x:c r="E14" s="303" t="str">
        <x:v>/tmp/osint-7Vd0k25d/finding-morsham-statutory-merger.json; /tmp/osint-7Vd0k25d/provenance-14646.json; investigations/epstein/ohio-corporate-property-index.csv</x:v>
      </x:c>
      <x:c r="F14" s="309" t="n">
        <x:v>9</x:v>
      </x:c>
      <x:c r="G14" s="303" t="str">
        <x:v>Nine exact Morsham party-index hits; the linked 2016 New Albany title affidavit is a separate related instrument, not a tenth Morsham party hit.</x:v>
      </x:c>
      <x:c r="H14" s="303" t="str">
        <x:v>/tmp/osint-7Vd0k25d/report-agent-franklin-index.md; /tmp/osint-7Vd0k25d/franklin-index-hits.csv</x:v>
      </x:c>
      <x:c r="I14" s="309" t="n">
        <x:v>8</x:v>
      </x:c>
      <x:c r="J14" s="303" t="str">
        <x:v>Precise suffix query Morsham Land Corp returned eight results. Broader searches returned 54 results for Morsham Land Corporation and 68 for Morsham Land, mostly later boundary/reference repetitions.</x:v>
      </x:c>
      <x:c r="K14" s="303" t="str">
        <x:v>/tmp/osint-7Vd0k25d/franklin-entity-ocr-variant-gap.json; /tmp/osint-7Vd0k25d/franklin-entity-ocr-pagination.json; /tmp/osint-7Vd0k25d/report-agent-morsham-family.md</x:v>
      </x:c>
      <x:c r="L14" s="309" t="n">
        <x:v>16</x:v>
      </x:c>
      <x:c r="M14" s="303" t="str">
        <x:v>Nine exact Morsham hits, the linked 2016 affidavit, and six selected downstream/reference controls; 97 public pages reviewed.</x:v>
      </x:c>
      <x:c r="N14" s="303" t="str">
        <x:v>/tmp/osint-7Vd0k25d/report-agent-morsham-family.md; /tmp/osint-7Vd0k25d/morsham-instrument-ledger.csv</x:v>
      </x:c>
      <x:c r="O14" s="303" t="str">
        <x:v>Morsham acquired 50.086 acres in 1987/1988, operated the tract, and disposed of components after the merger through Eastern Ohio and New Albany. A same-day 1996 chain moved 35.686 acres Eastern Ohio to New Albany LP to Summit.</x:v>
      </x:c>
      <x:c r="P14" s="303" t="str">
        <x:v>The recovered Ohio certificate proves Eastern Ohio was the statutory survivor and Morsham one of eight merging corporations. Recorder instruments call Eastern Ohio the Morsham merger successor. A 2016 affidavit separately asserts New Albany Company LLC as ultimate successor-in-interest to Morsham assets, but no reviewed statutory record closes Eastern Ohio to New Albany LLC.</x:v>
      </x:c>
      <x:c r="Q14" s="303" t="str">
        <x:v>No Epstein capacity in the reviewed Morsham recorder family or Morsham/Eastern merger certificate. Dorothy Snow appears as the 1987/1988 deed's Morsham tax-mailing contact, not owner.</x:v>
      </x:c>
      <x:c r="R14" s="303" t="str">
        <x:v>Keep statutory survivor, record-title successor, and asserted ultimate asset successor separate. The 2016 affidavit does not supply the later statutory chain. Many OCR hits are historical boundary calls; two 2012 controls convey neighboring land, not Morsham land.</x:v>
      </x:c>
    </x:row>
    <x:row r="15" ht="68" customHeight="1">
      <x:c r="A15" s="303" t="str">
        <x:v>city_centre</x:v>
      </x:c>
      <x:c r="B15" s="303" t="str">
        <x:v>City Centre</x:v>
      </x:c>
      <x:c r="C15" s="303" t="str">
        <x:v>City Centre Investment Corp. (Ohio 712332); City Centre Limited Partnership</x:v>
      </x:c>
      <x:c r="D15" s="303" t="str">
        <x:v>City Centre Investment dissolved 1994-12-28; limited-partnership cancellation recorded 1995-01-20.</x:v>
      </x:c>
      <x:c r="E15" s="303" t="str">
        <x:v>investigations/epstein/ohio-corporate-property-index.csv; investigations/epstein/dorothy-snow-ohio-entity-analysis.md; /tmp/osint-7Vd0k25d/normalized-parcel-chronology.csv</x:v>
      </x:c>
      <x:c r="F15" s="309" t="n">
        <x:v>1</x:v>
      </x:c>
      <x:c r="G15" s="303" t="str">
        <x:v>One exact target-party result: the 1995 release/cancellation of partnership.</x:v>
      </x:c>
      <x:c r="H15" s="303" t="str">
        <x:v>/tmp/osint-7Vd0k25d/report-agent-franklin-index.md; /tmp/osint-7Vd0k25d/franklin-index-hits.csv</x:v>
      </x:c>
      <x:c r="I15" s="309" t="n">
        <x:v>3</x:v>
      </x:c>
      <x:c r="J15" s="303" t="str">
        <x:v>Three unique OCR results for City Centre Investment Corp; the shorter City Centre Investment query returned the same total.</x:v>
      </x:c>
      <x:c r="K15" s="303" t="str">
        <x:v>/tmp/osint-7Vd0k25d/franklin-entity-ocr-variant-gap.json; /tmp/osint-7Vd0k25d/franklin-entity-ocr-pagination.json</x:v>
      </x:c>
      <x:c r="L15" s="309" t="n">
        <x:v>3</x:v>
      </x:c>
      <x:c r="M15" s="303" t="str">
        <x:v>1987 limited-partnership certificate, 1994 deed, and 1995 cancellation.</x:v>
      </x:c>
      <x:c r="N15" s="303" t="str">
        <x:v>/tmp/osint-7Vd0k25d/normalized-parcel-chronology.csv; /tmp/osint-7Vd0k25d/finding-city-centre-structure.json</x:v>
      </x:c>
      <x:c r="O15" s="303" t="str">
        <x:v>City Centre Investment was a limited partner. City Centre LP conveyed parcel 010-139305, a 2.833-acre 175 East Town Street tract, to Columbus Hospitality in 1994; the 1995 cancellation says assets were distributed but does not name recipients.</x:v>
      </x:c>
      <x:c r="P15" s="303" t="str">
        <x:v>Corporate dissolution and partnership cancellation, not merger. No residual-property recipient is identified.</x:v>
      </x:c>
      <x:c r="Q15" s="303" t="str">
        <x:v>President in the 1994 Ohio dissolution. No Epstein execution role was identified in the three reviewed recorder instruments.</x:v>
      </x:c>
      <x:c r="R15" s="303" t="str">
        <x:v>The 1-dollar recital and 5,420-dollar conveyance-tax figure are not the sale price. Partnership cancellation language does not identify who received any residual parcel or asset.</x:v>
      </x:c>
    </x:row>
    <x:row r="16" ht="68" customHeight="1">
      <x:c r="A16" s="303" t="str">
        <x:v>hhd_b</x:v>
      </x:c>
      <x:c r="B16" s="303" t="str">
        <x:v>HHD</x:v>
      </x:c>
      <x:c r="C16" s="303" t="str">
        <x:v>H.H.D.&amp;B., LLC / HHD&amp;B LLC; Franklin parcel 222-001350</x:v>
      </x:c>
      <x:c r="D16" s="303" t="str">
        <x:v>Ohio entity number/status was not resolved; Franklin Auditor identifies HHD &amp; B LLC as current owner in the reviewed record.</x:v>
      </x:c>
      <x:c r="E16" s="303" t="str">
        <x:v>investigations/epstein/ohio-corporate-property-index.csv; /tmp/osint-7Vd0k25d/report-agent-hhd-family.md</x:v>
      </x:c>
      <x:c r="F16" s="309" t="n">
        <x:v>2</x:v>
      </x:c>
      <x:c r="G16" s="303" t="str">
        <x:v>Later exact targeted party search found the 1998 deed and 2001 notice under HHD &amp; B LLC.</x:v>
      </x:c>
      <x:c r="H16" s="303" t="str">
        <x:v>/tmp/osint-7Vd0k25d/franklin-targeted-party-hits.csv</x:v>
      </x:c>
      <x:c r="I16" s="309" t="n">
        <x:v>8</x:v>
      </x:c>
      <x:c r="J16" s="303" t="str">
        <x:v>Eight unique OCR instruments across exact punctuation variants H.H.D.&amp;B., LLC and HHD&amp;B LLC; seven under the first and one under the second.</x:v>
      </x:c>
      <x:c r="K16" s="303" t="str">
        <x:v>/tmp/osint-7Vd0k25d/franklin-entity-ocr-variant-gap.json; /tmp/osint-7Vd0k25d/report-agent-hhd-family.md</x:v>
      </x:c>
      <x:c r="L16" s="309" t="n">
        <x:v>8</x:v>
      </x:c>
      <x:c r="M16" s="303" t="str">
        <x:v>All eight instruments and 234 stored pages were downloaded/OCRed, with decisive operative and boundary pages visually reviewed; only two are substantive HHD-party instruments and six are later boundary references.</x:v>
      </x:c>
      <x:c r="N16" s="303" t="str">
        <x:v>/tmp/osint-7Vd0k25d/report-agent-hhd-family.md; /tmp/osint-7Vd0k25d/hhd-instrument-ledger.csv</x:v>
      </x:c>
      <x:c r="O16" s="303" t="str">
        <x:v>Epstein acquired the 30.368-acre tract in 1992 and deeded it to HHD in 1998; a 2001 notice concerns Rotunda House alterations. Six later OCR hits merely cite the HHD tract as an adjacent boundary.</x:v>
      </x:c>
      <x:c r="P16" s="303" t="str">
        <x:v>No HHD merger or successor identified. Later New Albany successor recitals in neighboring deeds do not concern HHD.</x:v>
      </x:c>
      <x:c r="Q16" s="303" t="str">
        <x:v>Individual fee grantor to HHD in the 1998 deed; no reviewed record identifies HHD's members or proves Epstein controlled it after conveyance.</x:v>
      </x:c>
      <x:c r="R16" s="303" t="str">
        <x:v>The 3,500-dollar and 8,000-dollar deed stamps are conveyance taxes; separate Auditor records report 3.5 million and 8 million dollars. The 2001 lender None field is limited to improvement financing. The exact-name OCR family is not a complete parcel-centered lien search.</x:v>
      </x:c>
    </x:row>
    <x:row r="17" ht="68" customHeight="1">
      <x:c r="A17" s="304" t="str">
        <x:v>family_property_trust_a</x:v>
      </x:c>
      <x:c r="B17" s="304" t="str">
        <x:v>1990 Family Property Trust A</x:v>
      </x:c>
      <x:c r="C17" s="304" t="str">
        <x:v>1990 Family Property Trust A; parcel 222-001301</x:v>
      </x:c>
      <x:c r="D17" s="304" t="str">
        <x:v>Not applicable as a corporate filing status; trust existence and trustee succession are documented in recorder instruments.</x:v>
      </x:c>
      <x:c r="E17" s="304" t="str">
        <x:v>/tmp/osint-7Vd0k25d/finding-family-property-trust-a.json; /tmp/osint-7Vd0k25d/normalized-parcel-chronology.csv</x:v>
      </x:c>
      <x:c r="F17" s="310" t="n">
        <x:v>2</x:v>
      </x:c>
      <x:c r="G17" s="304" t="str">
        <x:v>Later exact targeted party search found the 1994 acquisition deed and 2011 successor-trustee sale deed under the trust name.</x:v>
      </x:c>
      <x:c r="H17" s="304" t="str">
        <x:v>/tmp/osint-7Vd0k25d/franklin-targeted-party-hits.csv</x:v>
      </x:c>
      <x:c r="I17" s="310" t="n">
        <x:v>2</x:v>
      </x:c>
      <x:c r="J17" s="304" t="str">
        <x:v>Two exact full-text OCR hits: the 1994 deed and 2007 successor-trustee affidavit.</x:v>
      </x:c>
      <x:c r="K17" s="304" t="str">
        <x:v>/tmp/osint-7Vd0k25d/franklin-entity-ocr-variant-gap.json; /tmp/osint-7Vd0k25d/franklin-entity-ocr-variant-gap-pages/ithildin-franklin-oh-gap-18-family_property_trust-1990-family-property-trust-a-offset-0000000.json</x:v>
      </x:c>
      <x:c r="L17" s="310" t="n">
        <x:v>2</x:v>
      </x:c>
      <x:c r="M17" s="304" t="str">
        <x:v>The 1994 acquisition deed and 2007 successor-trustee affidavit were materially image reviewed; the 2011 indexed sale was not counted as image reviewed here.</x:v>
      </x:c>
      <x:c r="N17" s="304" t="str">
        <x:v>/tmp/osint-7Vd0k25d/normalized-parcel-chronology.csv; /tmp/osint-7Vd0k25d/finding-family-property-trust-a.json</x:v>
      </x:c>
      <x:c r="O17" s="304" t="str">
        <x:v>New Albany LP conveyed Lot 18, later 7558 King George Drive / parcel 222-001301, to Epstein expressly as trustee in 1994. A 2007 affidavit recounts trustee changes and directs title to successor co-trustees.</x:v>
      </x:c>
      <x:c r="P17" s="304" t="str">
        <x:v>Trustee succession, not corporate merger. The affidavit names Abigail Wexner and Walter Novembre as successor co-trustees; the party index later shows a 2011 trust-name sale.</x:v>
      </x:c>
      <x:c r="Q17" s="304" t="str">
        <x:v>Initial trustee; the affidavit says he was removed as sole trustee and made co-trustee in 1993, then resigned in 1995.</x:v>
      </x:c>
      <x:c r="R17" s="304" t="str">
        <x:v>Trustee title is not beneficial ownership. The affidavit does not identify beneficiaries, distributions, financing, or the complete parcel lien history. Party-index and OCR counts cover different instrument pairs, illustrating why both layers are needed.</x:v>
      </x:c>
    </x:row>
  </x:sheetData>
  <x:mergeCells>
    <x:mergeCell ref="A1:R1"/>
    <x:mergeCell ref="A2:R2"/>
  </x:mergeCells>
  <x:conditionalFormatting sqref="F5:F17">
    <x:cfRule type="dataBar" priority="1">
      <x:dataBar>
        <x:cfvo type="min"/>
        <x:cfvo type="max"/>
        <x:color rgb="FF244A73"/>
      </x:dataBar>
      <x:extLst>
        <x:ext xmlns:x14="http://schemas.microsoft.com/office/spreadsheetml/2009/9/main" uri="{B025F937-C7B1-47D3-B67F-A62EFF666E3E}">
          <x14:id>{58278DB2-1143-C993-8966-AD9D7B27A3FF}</x14:id>
        </x:ext>
      </x:extLst>
    </x:cfRule>
  </x:conditionalFormatting>
  <x:conditionalFormatting sqref="I5:I17">
    <x:cfRule type="dataBar" priority="2">
      <x:dataBar>
        <x:cfvo type="min"/>
        <x:cfvo type="max"/>
        <x:color rgb="FFC69214"/>
      </x:dataBar>
      <x:extLst>
        <x:ext xmlns:x14="http://schemas.microsoft.com/office/spreadsheetml/2009/9/main" uri="{B025F937-C7B1-47D3-B67F-A62EFF666E3E}">
          <x14:id>{BC0A5851-9D7A-D638-24DC-075A2AC9B72C}</x14:id>
        </x:ext>
      </x:extLst>
    </x:cfRule>
  </x:conditionalFormatting>
  <x:conditionalFormatting sqref="L5:L17">
    <x:cfRule type="dataBar" priority="3">
      <x:dataBar>
        <x:cfvo type="min"/>
        <x:cfvo type="max"/>
        <x:color rgb="FF2E6B3E"/>
      </x:dataBar>
      <x:extLst>
        <x:ext xmlns:x14="http://schemas.microsoft.com/office/spreadsheetml/2009/9/main" uri="{B025F937-C7B1-47D3-B67F-A62EFF666E3E}">
          <x14:id>{4AE2F6A8-3512-8B0C-4C78-75CE4BA379F6}</x14:id>
        </x:ext>
      </x:extLst>
    </x:cfRule>
  </x:conditionalFormatting>
  <x:conditionalFormatting sqref="D5:D17">
    <x:cfRule type="containsText" dxfId="0" priority="4" operator="containsText" text="dissolved"/>
  </x:conditionalFormatting>
  <x:pageMargins left="0.7" right="0.7" top="0.75" bottom="0.75" header="0.3" footer="0.3"/>
  <x:tableParts count="1">
    <x:tablePart xmlns:r="http://schemas.openxmlformats.org/officeDocument/2006/relationships" r:id="R86dfc4d5cd4b404a"/>
  </x:tableParts>
  <x:extLst>
    <x:ext xmlns:x14="http://schemas.microsoft.com/office/spreadsheetml/2009/9/main" xmlns:xm="http://schemas.microsoft.com/office/excel/2006/main" uri="{78C0D931-6437-407d-A8EE-F0AAD7539E65}">
      <x14:conditionalFormattings>
        <x14:conditionalFormatting>
          <x14:cfRule type="dataBar" priority="1" id="{58278DB2-1143-C993-8966-AD9D7B27A3FF}">
            <x14:dataBar gradient="1">
              <x14:cfvo type="min"/>
              <x14:cfvo type="max"/>
              <x14:fillColor rgb="FF244A73"/>
            </x14:dataBar>
          </x14:cfRule>
          <xm:sqref>F5:F17</xm:sqref>
        </x14:conditionalFormatting>
        <x14:conditionalFormatting>
          <x14:cfRule type="dataBar" priority="2" id="{BC0A5851-9D7A-D638-24DC-075A2AC9B72C}">
            <x14:dataBar gradient="1">
              <x14:cfvo type="min"/>
              <x14:cfvo type="max"/>
              <x14:fillColor rgb="FFC69214"/>
            </x14:dataBar>
          </x14:cfRule>
          <xm:sqref>I5:I17</xm:sqref>
        </x14:conditionalFormatting>
        <x14:conditionalFormatting>
          <x14:cfRule type="dataBar" priority="3" id="{4AE2F6A8-3512-8B0C-4C78-75CE4BA379F6}">
            <x14:dataBar gradient="1">
              <x14:cfvo type="min"/>
              <x14:cfvo type="max"/>
              <x14:fillColor rgb="FF2E6B3E"/>
            </x14:dataBar>
          </x14:cfRule>
          <xm:sqref>L5:L17</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20" hidden="0" customWidth="1"/>
    <x:col min="4" max="4" width="28" hidden="0" customWidth="1"/>
    <x:col min="5" max="5" width="20" hidden="0" customWidth="1"/>
    <x:col min="6" max="6" width="20" hidden="0" customWidth="1"/>
    <x:col min="7" max="7" width="28" hidden="0" customWidth="1"/>
    <x:col min="8" max="8" width="28" hidden="0" customWidth="1"/>
    <x:col min="9" max="9" width="28" hidden="0" customWidth="1"/>
    <x:col min="10" max="10" width="28" hidden="0" customWidth="1"/>
    <x:col min="11" max="11" width="28" hidden="0" customWidth="1"/>
    <x:col min="12" max="12" width="44" hidden="0" customWidth="1"/>
    <x:col min="13" max="13" width="20" hidden="0" customWidth="1"/>
    <x:col min="14" max="14" width="20" hidden="0" customWidth="1"/>
    <x:col min="15" max="15" width="38" hidden="0" customWidth="1"/>
    <x:col min="16" max="16" width="28" hidden="0" customWidth="1"/>
    <x:col min="17" max="17" width="44" hidden="0" customWidth="1"/>
    <x:col min="18" max="18" width="16" hidden="0" customWidth="1"/>
    <x:col min="19" max="19" width="12" hidden="0" customWidth="1"/>
    <x:col min="20" max="20" width="24" hidden="0" customWidth="1"/>
    <x:col min="21" max="21" width="31" hidden="0" customWidth="1"/>
  </x:cols>
  <x:sheetData>
    <x:row r="1" ht="30" customHeight="1">
      <x:c r="A1" s="3" t="str">
        <x:v>Normalized Franklin County parcel and instrument chronology</x:v>
      </x:c>
      <x:c r="B1" s="3"/>
      <x:c r="C1" s="3"/>
      <x:c r="D1" s="3"/>
      <x:c r="E1" s="3"/>
      <x:c r="F1" s="3"/>
      <x:c r="G1" s="3"/>
      <x:c r="H1" s="3"/>
      <x:c r="I1" s="3"/>
      <x:c r="J1" s="3"/>
      <x:c r="K1" s="3"/>
      <x:c r="L1" s="3"/>
      <x:c r="M1" s="3"/>
      <x:c r="N1" s="3"/>
      <x:c r="O1" s="3"/>
      <x:c r="P1" s="3"/>
      <x:c r="Q1" s="3"/>
    </x:row>
    <x:row r="2" ht="36" customHeight="1">
      <x:c r="A2" s="12" t="str">
        <x:v>116 events across property, partnership, financing, easement, trust, and successor records. Event type controls legal effect; source state and caveat prevent index/OCR overreach.</x:v>
      </x:c>
      <x:c r="B2" s="13"/>
      <x:c r="C2" s="13"/>
      <x:c r="D2" s="13"/>
      <x:c r="E2" s="13"/>
      <x:c r="F2" s="13"/>
      <x:c r="G2" s="13"/>
      <x:c r="H2" s="13"/>
      <x:c r="I2" s="13"/>
      <x:c r="J2" s="13"/>
      <x:c r="K2" s="13"/>
      <x:c r="L2" s="13"/>
      <x:c r="M2" s="13"/>
      <x:c r="N2" s="13"/>
      <x:c r="O2" s="13"/>
      <x:c r="P2" s="13"/>
      <x:c r="Q2" s="14"/>
    </x:row>
    <x:row r="4" ht="32" customHeight="1">
      <x:c r="A4" s="292" t="str">
        <x:v>event_date</x:v>
      </x:c>
      <x:c r="B4" s="293" t="str">
        <x:v>instrument_number</x:v>
      </x:c>
      <x:c r="C4" s="293" t="str">
        <x:v>native_doc_id</x:v>
      </x:c>
      <x:c r="D4" s="293" t="str">
        <x:v>entity_family</x:v>
      </x:c>
      <x:c r="E4" s="293" t="str">
        <x:v>parcel_id_or_tract</x:v>
      </x:c>
      <x:c r="F4" s="293" t="str">
        <x:v>acreage</x:v>
      </x:c>
      <x:c r="G4" s="293" t="str">
        <x:v>event_type</x:v>
      </x:c>
      <x:c r="H4" s="293" t="str">
        <x:v>from_party</x:v>
      </x:c>
      <x:c r="I4" s="293" t="str">
        <x:v>to_party</x:v>
      </x:c>
      <x:c r="J4" s="293" t="str">
        <x:v>capacity</x:v>
      </x:c>
      <x:c r="K4" s="293" t="str">
        <x:v>title_or_lien_effect</x:v>
      </x:c>
      <x:c r="L4" s="293" t="str">
        <x:v>consideration_or_debt</x:v>
      </x:c>
      <x:c r="M4" s="293" t="str">
        <x:v>prior_reference</x:v>
      </x:c>
      <x:c r="N4" s="293" t="str">
        <x:v>next_reference</x:v>
      </x:c>
      <x:c r="O4" s="293" t="str">
        <x:v>source_url</x:v>
      </x:c>
      <x:c r="P4" s="293" t="str">
        <x:v>evidence_state</x:v>
      </x:c>
      <x:c r="Q4" s="294" t="str">
        <x:v>caveat</x:v>
      </x:c>
      <x:c r="R4" s="321" t="str">
        <x:v>evidence_tier</x:v>
      </x:c>
      <x:c r="S4" s="322" t="str">
        <x:v>event_year</x:v>
      </x:c>
      <x:c r="T4" s="322" t="str">
        <x:v>activity_cluster</x:v>
      </x:c>
      <x:c r="U4" s="323" t="str">
        <x:v>year_cluster_key</x:v>
      </x:c>
    </x:row>
    <x:row r="5" ht="58" customHeight="1">
      <x:c r="A5" s="311" t="n">
        <x:v>30715.5</x:v>
      </x:c>
      <x:c r="B5" s="314" t="str">
        <x:v>198402030051783</x:v>
      </x:c>
      <x:c r="C5" s="314" t="str">
        <x:v>129763175</x:v>
      </x:c>
      <x:c r="D5" s="302" t="str">
        <x:v>Park Properties / C.H. Development Group</x:v>
      </x:c>
      <x:c r="E5" s="302" t="str">
        <x:v>Five Columbus tracts: Lots 333-334 Northwood Heights (PB 2, pp. 121/270); Lot 2 plus 10 feet of Lot 1, Block 25, Indianola Summit (PB 5, p. 140); Lot 27, Block 1, Indianola Summit; Lot 35, Dennison Summit (PB 6, p. 15-A); Lot 4, Block 19, Indianola Summit</x:v>
      </x:c>
      <x:c r="F5" s="302"/>
      <x:c r="G5" s="302" t="str">
        <x:v>Open-End Mortgage and Security Agreement (MO)</x:v>
      </x:c>
      <x:c r="H5" s="302" t="str">
        <x:v>Dean W. Fried, unmarried</x:v>
      </x:c>
      <x:c r="I5" s="302" t="str">
        <x:v>Park Properties, Inc., Ohio corporation</x:v>
      </x:c>
      <x:c r="J5" s="302" t="str">
        <x:v>True corporate instrument; operative open-end mortgage/security agreement (F-03)</x:v>
      </x:c>
      <x:c r="K5" s="302" t="str">
        <x:v>Creates the operative Park mortgage/security lien on Fried's five tracts; Park is mortgagee, not fee owner.</x:v>
      </x:c>
      <x:c r="L5" s="302" t="str">
        <x:v>Good and valuable consideration; official index displays $5,000,000.00; Not applicable; mortgage, no conveyance-tax stamp; One C.H. Development Group loan up to $5,000,000; Fried guaranty 23%; maximum unpaid indebtedness secured by this mortgage $1,150,000</x:v>
      </x:c>
      <x:c r="M5" s="314" t="str">
        <x:v>Last-transfer references: DR 3663/255; 3526/755; 3476/806; 3455/426; 3479/633</x:v>
      </x:c>
      <x:c r="N5" s="314" t="str">
        <x:v>198512170169361; 198703060079777; 199002200063673; portal also marginally links 199608290027759</x:v>
      </x:c>
      <x:c r="O5" s="302" t="str">
        <x:v>https://franklin.oh.publicsearch.us/doc/129763175?department=RP</x:v>
      </x:c>
      <x:c r="P5" s="302" t="str">
        <x:v>Official detail/index plus five public page images; OCR all pages; material pages visually inspected</x:v>
      </x:c>
      <x:c r="Q5" s="302" t="str">
        <x:v>Park is mortgagee/general partner, not record owner of these parcels. Instrument also grants a UCC security interest in Fried personal property/fixtures. Do not treat the portal's $5 million index amount as a separate debt for each duplicate record. Conveyance-tax/fee figures are not treated as sale price.</x:v>
      </x:c>
      <x:c r="R5" s="331" t="str">
        <x:f>IF(OR(ISNUMBER(SEARCH("zero public",P5)),ISNUMBER(SEARCH("unavailable",P5))),"Detail only","Image-backed")</x:f>
        <x:v>Image-backed</x:v>
      </x:c>
      <x:c r="S5" s="334" t="n">
        <x:f>IF(ISNUMBER(A5),YEAR(A5),VALUE(LEFT(A5,4)))</x:f>
        <x:v>1984</x:v>
      </x:c>
      <x:c r="T5" s="331" t="str">
        <x:f>IF(OR(ISNUMBER(SEARCH("Cherry",D5)),ISNUMBER(SEARCH("C-Wren",D5))),"Cherry / C-Wren / KG",IF(OR(ISNUMBER(SEARCH("Rocky Fork",D5)),ISNUMBER(SEARCH("N.A. Property",D5))),"Rocky / New Albany",IF(ISNUMBER(SEARCH("Morsham",D5)),"Morsham / Eastern",IF(ISNUMBER(SEARCH("Park Properties",D5)),"Park",IF(OR(ISNUMBER(SEARCH("H.H.D",D5)),ISNUMBER(SEARCH("Family Property Trust",D5))),"HHD / Trust","Other")))))</x:f>
        <x:v>Park</x:v>
      </x:c>
      <x:c r="U5" s="331" t="str">
        <x:f>S5&amp;"|"&amp;T5</x:f>
        <x:v>1984|Park</x:v>
      </x:c>
    </x:row>
    <x:row r="6" ht="58" customHeight="1">
      <x:c r="A6" s="312" t="n">
        <x:v>30715.5</x:v>
      </x:c>
      <x:c r="B6" s="315" t="str">
        <x:v>198402030051784</x:v>
      </x:c>
      <x:c r="C6" s="315" t="str">
        <x:v>129763177</x:v>
      </x:c>
      <x:c r="D6" s="303" t="str">
        <x:v>Park Properties / C.H. Development Group</x:v>
      </x:c>
      <x:c r="E6" s="303" t="str">
        <x:v>Same five Columbus tracts as F-03</x:v>
      </x:c>
      <x:c r="F6" s="303"/>
      <x:c r="G6" s="303" t="str">
        <x:v>Open-End Mortgage and Security Agreement (MO)</x:v>
      </x:c>
      <x:c r="H6" s="303" t="str">
        <x:v>Dean W. Fried, unmarried</x:v>
      </x:c>
      <x:c r="I6" s="303" t="str">
        <x:v>Park Properties, Inc., Ohio corporation</x:v>
      </x:c>
      <x:c r="J6" s="303" t="str">
        <x:v>True corporate instrument; erroneous duplicate recording (F-08)</x:v>
      </x:c>
      <x:c r="K6" s="303" t="str">
        <x:v>Erroneous duplicate recording of the same Park/Fried lien; not a second loan or lien exposure.</x:v>
      </x:c>
      <x:c r="L6" s="303" t="str">
        <x:v>Good and valuable consideration; official index displays $5,000,000.00; Not applicable; mortgage, no conveyance-tax stamp; Same single C.H. Development Group debt as F-03; Fried guaranty 23%; maximum secured $1,150,000</x:v>
      </x:c>
      <x:c r="M6" s="315" t="str">
        <x:v>198402030051783 (same debt/property)</x:v>
      </x:c>
      <x:c r="N6" s="315" t="str">
        <x:v>198512170169360; 198601070053215; 198601070053216; portal also marginally links 199309080030754</x:v>
      </x:c>
      <x:c r="O6" s="303" t="str">
        <x:v>https://franklin.oh.publicsearch.us/doc/129763177?department=RP</x:v>
      </x:c>
      <x:c r="P6" s="303" t="str">
        <x:v>Official detail/index plus five public page images; OCR all pages; material pages visually inspected</x:v>
      </x:c>
      <x:c r="Q6" s="303" t="str">
        <x:v>The 1985/1986 satisfaction images expressly say F-08 was recorded through recording-officer inadvertence. It is not a second $5 million loan. Conveyance-tax/fee figures are not treated as sale price.</x:v>
      </x:c>
      <x:c r="R6" s="332" t="str">
        <x:f>IF(OR(ISNUMBER(SEARCH("zero public",P6)),ISNUMBER(SEARCH("unavailable",P6))),"Detail only","Image-backed")</x:f>
        <x:v>Image-backed</x:v>
      </x:c>
      <x:c r="S6" s="335" t="n">
        <x:f>IF(ISNUMBER(A6),YEAR(A6),VALUE(LEFT(A6,4)))</x:f>
        <x:v>1984</x:v>
      </x:c>
      <x:c r="T6" s="332" t="str">
        <x:f>IF(OR(ISNUMBER(SEARCH("Cherry",D6)),ISNUMBER(SEARCH("C-Wren",D6))),"Cherry / C-Wren / KG",IF(OR(ISNUMBER(SEARCH("Rocky Fork",D6)),ISNUMBER(SEARCH("N.A. Property",D6))),"Rocky / New Albany",IF(ISNUMBER(SEARCH("Morsham",D6)),"Morsham / Eastern",IF(ISNUMBER(SEARCH("Park Properties",D6)),"Park",IF(OR(ISNUMBER(SEARCH("H.H.D",D6)),ISNUMBER(SEARCH("Family Property Trust",D6))),"HHD / Trust","Other")))))</x:f>
        <x:v>Park</x:v>
      </x:c>
      <x:c r="U6" s="332" t="str">
        <x:f>S6&amp;"|"&amp;T6</x:f>
        <x:v>1984|Park</x:v>
      </x:c>
    </x:row>
    <x:row r="7" ht="58" customHeight="1">
      <x:c r="A7" s="312" t="n">
        <x:v>30715.5</x:v>
      </x:c>
      <x:c r="B7" s="315" t="str">
        <x:v>198402030051785</x:v>
      </x:c>
      <x:c r="C7" s="315" t="str">
        <x:v>129763178</x:v>
      </x:c>
      <x:c r="D7" s="303" t="str">
        <x:v>Park Properties / C.H. Development Group</x:v>
      </x:c>
      <x:c r="E7" s="303" t="str">
        <x:v>Same five Columbus tracts as F-03</x:v>
      </x:c>
      <x:c r="F7" s="303"/>
      <x:c r="G7" s="303" t="str">
        <x:v>Open-End Mortgage and Security Agreement (MO)</x:v>
      </x:c>
      <x:c r="H7" s="303" t="str">
        <x:v>Dean W. Fried, unmarried</x:v>
      </x:c>
      <x:c r="I7" s="303" t="str">
        <x:v>Park Properties, Inc., Ohio corporation</x:v>
      </x:c>
      <x:c r="J7" s="303" t="str">
        <x:v>True corporate instrument; erroneous duplicate recording (F-13)</x:v>
      </x:c>
      <x:c r="K7" s="303" t="str">
        <x:v>Erroneous duplicate recording of the same Park/Fried lien; not a second loan or lien exposure.</x:v>
      </x:c>
      <x:c r="L7" s="303" t="str">
        <x:v>Good and valuable consideration; official index displays $5,000,000.00; Not applicable; mortgage, no conveyance-tax stamp; Same single C.H. Development Group debt as F-03; Fried guaranty 23%; maximum secured $1,150,000</x:v>
      </x:c>
      <x:c r="M7" s="315" t="str">
        <x:v>198402030051783 (same debt/property)</x:v>
      </x:c>
      <x:c r="N7" s="315" t="str">
        <x:v>198512170169359; 198601070053215; 198601070053216</x:v>
      </x:c>
      <x:c r="O7" s="303" t="str">
        <x:v>https://franklin.oh.publicsearch.us/doc/129763178?department=RP</x:v>
      </x:c>
      <x:c r="P7" s="303" t="str">
        <x:v>Official detail/index plus five public page images; OCR all pages; material pages visually inspected</x:v>
      </x:c>
      <x:c r="Q7" s="303" t="str">
        <x:v>The 1985/1986 satisfaction images expressly say F-13 was recorded through recording-officer inadvertence. It is not a third $5 million loan. Conveyance-tax/fee figures are not treated as sale price.</x:v>
      </x:c>
      <x:c r="R7" s="332" t="str">
        <x:f>IF(OR(ISNUMBER(SEARCH("zero public",P7)),ISNUMBER(SEARCH("unavailable",P7))),"Detail only","Image-backed")</x:f>
        <x:v>Image-backed</x:v>
      </x:c>
      <x:c r="S7" s="335" t="n">
        <x:f>IF(ISNUMBER(A7),YEAR(A7),VALUE(LEFT(A7,4)))</x:f>
        <x:v>1984</x:v>
      </x:c>
      <x:c r="T7" s="332" t="str">
        <x:f>IF(OR(ISNUMBER(SEARCH("Cherry",D7)),ISNUMBER(SEARCH("C-Wren",D7))),"Cherry / C-Wren / KG",IF(OR(ISNUMBER(SEARCH("Rocky Fork",D7)),ISNUMBER(SEARCH("N.A. Property",D7))),"Rocky / New Albany",IF(ISNUMBER(SEARCH("Morsham",D7)),"Morsham / Eastern",IF(ISNUMBER(SEARCH("Park Properties",D7)),"Park",IF(OR(ISNUMBER(SEARCH("H.H.D",D7)),ISNUMBER(SEARCH("Family Property Trust",D7))),"HHD / Trust","Other")))))</x:f>
        <x:v>Park</x:v>
      </x:c>
      <x:c r="U7" s="332" t="str">
        <x:f>S7&amp;"|"&amp;T7</x:f>
        <x:v>1984|Park</x:v>
      </x:c>
    </x:row>
    <x:row r="8" ht="58" customHeight="1">
      <x:c r="A8" s="312" t="n">
        <x:v>31058.5</x:v>
      </x:c>
      <x:c r="B8" s="315" t="str">
        <x:v>198501110052868</x:v>
      </x:c>
      <x:c r="C8" s="315" t="str">
        <x:v>129875487</x:v>
      </x:c>
      <x:c r="D8" s="303" t="str">
        <x:v>Park Properties / C.H. Development Group</x:v>
      </x:c>
      <x:c r="E8" s="303" t="str">
        <x:v>No real-property parcel; partnership certificate</x:v>
      </x:c>
      <x:c r="F8" s="303"/>
      <x:c r="G8" s="303" t="str">
        <x:v>Partnership certificate (PT)</x:v>
      </x:c>
      <x:c r="H8" s="303" t="str">
        <x:v>C.H. Development Group</x:v>
      </x:c>
      <x:c r="I8" s="303" t="str">
        <x:v>Park Properties, Inc. (indexed grantee/general partner)</x:v>
      </x:c>
      <x:c r="J8" s="303" t="str">
        <x:v>True corporate instrument; original general-partnership certificate</x:v>
      </x:c>
      <x:c r="K8" s="303" t="str">
        <x:v>Records Park's general-partner status or address; no fee-title transfer.</x:v>
      </x:c>
      <x:c r="L8" s="303" t="str">
        <x:v>None stated; Not applicable; No debt amount; identifies four corporate general partners</x:v>
      </x:c>
      <x:c r="M8" s="315" t="str">
        <x:v>Partnership formed 1984-01-16</x:v>
      </x:c>
      <x:c r="N8" s="315" t="str">
        <x:v>198511040153633</x:v>
      </x:c>
      <x:c r="O8" s="303" t="str">
        <x:v>https://franklin.oh.publicsearch.us/doc/129875487?department=RP</x:v>
      </x:c>
      <x:c r="P8" s="303" t="str">
        <x:v>Official detail/index plus three public page images; OCR all pages; all pages visually inspected</x:v>
      </x:c>
      <x:c r="Q8" s="303" t="str">
        <x:v>Park is expressly one general partner, with Levin signing by board order in Park's capacity as general partner. No Dorothy Snow, Leslie Wexner, Jeffrey Epstein, merger, parcel, or successor appears.</x:v>
      </x:c>
      <x:c r="R8" s="332" t="str">
        <x:f>IF(OR(ISNUMBER(SEARCH("zero public",P8)),ISNUMBER(SEARCH("unavailable",P8))),"Detail only","Image-backed")</x:f>
        <x:v>Image-backed</x:v>
      </x:c>
      <x:c r="S8" s="335" t="n">
        <x:f>IF(ISNUMBER(A8),YEAR(A8),VALUE(LEFT(A8,4)))</x:f>
        <x:v>1985</x:v>
      </x:c>
      <x:c r="T8" s="332" t="str">
        <x:f>IF(OR(ISNUMBER(SEARCH("Cherry",D8)),ISNUMBER(SEARCH("C-Wren",D8))),"Cherry / C-Wren / KG",IF(OR(ISNUMBER(SEARCH("Rocky Fork",D8)),ISNUMBER(SEARCH("N.A. Property",D8))),"Rocky / New Albany",IF(ISNUMBER(SEARCH("Morsham",D8)),"Morsham / Eastern",IF(ISNUMBER(SEARCH("Park Properties",D8)),"Park",IF(OR(ISNUMBER(SEARCH("H.H.D",D8)),ISNUMBER(SEARCH("Family Property Trust",D8))),"HHD / Trust","Other")))))</x:f>
        <x:v>Park</x:v>
      </x:c>
      <x:c r="U8" s="332" t="str">
        <x:f>S8&amp;"|"&amp;T8</x:f>
        <x:v>1985|Park</x:v>
      </x:c>
    </x:row>
    <x:row r="9" ht="58" customHeight="1">
      <x:c r="A9" s="312" t="n">
        <x:v>31355.5</x:v>
      </x:c>
      <x:c r="B9" s="315" t="str">
        <x:v>198511040153633</x:v>
      </x:c>
      <x:c r="C9" s="315" t="str">
        <x:v>129976478</x:v>
      </x:c>
      <x:c r="D9" s="303" t="str">
        <x:v>Park Properties / C.H. Development Group</x:v>
      </x:c>
      <x:c r="E9" s="303" t="str">
        <x:v>No real-property parcel; address amendment only</x:v>
      </x:c>
      <x:c r="F9" s="303"/>
      <x:c r="G9" s="303" t="str">
        <x:v>Amended partnership certificate (PT)</x:v>
      </x:c>
      <x:c r="H9" s="303" t="str">
        <x:v>C.H. Development Group</x:v>
      </x:c>
      <x:c r="I9" s="303" t="str">
        <x:v>Park Properties, Inc. (indexed grantee/general partner)</x:v>
      </x:c>
      <x:c r="J9" s="303" t="str">
        <x:v>True corporate instrument; amended partnership certificate changing partner addresses</x:v>
      </x:c>
      <x:c r="K9" s="303" t="str">
        <x:v>Records Park's general-partner status or address; no fee-title transfer.</x:v>
      </x:c>
      <x:c r="L9" s="303" t="str">
        <x:v>None stated; Not applicable; No debt amount; no ownership or partner substitution stated</x:v>
      </x:c>
      <x:c r="M9" s="315" t="str">
        <x:v>198501110052868</x:v>
      </x:c>
      <x:c r="N9" s="315" t="str">
        <x:v>None identified</x:v>
      </x:c>
      <x:c r="O9" s="303" t="str">
        <x:v>https://franklin.oh.publicsearch.us/doc/129976478?department=RP</x:v>
      </x:c>
      <x:c r="P9" s="303" t="str">
        <x:v>Official detail/index plus one public page image; OCR and visual inspection</x:v>
      </x:c>
      <x:c r="Q9" s="303" t="str">
        <x:v>Amendment only corrects residences: Park to 41 South High Street, Suite 3710; H&amp;L to 320 North Parkview Avenue; J.D. Indiana to 131 North Ludlow Street, Suite 1313; DFW remains 2549 Indianola Avenue. It is not a merger or successor filing.</x:v>
      </x:c>
      <x:c r="R9" s="332" t="str">
        <x:f>IF(OR(ISNUMBER(SEARCH("zero public",P9)),ISNUMBER(SEARCH("unavailable",P9))),"Detail only","Image-backed")</x:f>
        <x:v>Image-backed</x:v>
      </x:c>
      <x:c r="S9" s="335" t="n">
        <x:f>IF(ISNUMBER(A9),YEAR(A9),VALUE(LEFT(A9,4)))</x:f>
        <x:v>1985</x:v>
      </x:c>
      <x:c r="T9" s="332" t="str">
        <x:f>IF(OR(ISNUMBER(SEARCH("Cherry",D9)),ISNUMBER(SEARCH("C-Wren",D9))),"Cherry / C-Wren / KG",IF(OR(ISNUMBER(SEARCH("Rocky Fork",D9)),ISNUMBER(SEARCH("N.A. Property",D9))),"Rocky / New Albany",IF(ISNUMBER(SEARCH("Morsham",D9)),"Morsham / Eastern",IF(ISNUMBER(SEARCH("Park Properties",D9)),"Park",IF(OR(ISNUMBER(SEARCH("H.H.D",D9)),ISNUMBER(SEARCH("Family Property Trust",D9))),"HHD / Trust","Other")))))</x:f>
        <x:v>Park</x:v>
      </x:c>
      <x:c r="U9" s="332" t="str">
        <x:f>S9&amp;"|"&amp;T9</x:f>
        <x:v>1985|Park</x:v>
      </x:c>
    </x:row>
    <x:row r="10" ht="58" customHeight="1">
      <x:c r="A10" s="312" t="n">
        <x:v>31398.5</x:v>
      </x:c>
      <x:c r="B10" s="315" t="str">
        <x:v>198512170169359</x:v>
      </x:c>
      <x:c r="C10" s="315" t="str">
        <x:v>129992402</x:v>
      </x:c>
      <x:c r="D10" s="303" t="str">
        <x:v>Park Properties / C.H. Development Group</x:v>
      </x:c>
      <x:c r="E10" s="303" t="str">
        <x:v>Lot 35, Anne E. Dennison's Subdivision / Dennison Summit Addition (PB 6, p. 15-A)</x:v>
      </x:c>
      <x:c r="F10" s="303"/>
      <x:c r="G10" s="303" t="str">
        <x:v>Partial Release of Mortgage (PRMO)</x:v>
      </x:c>
      <x:c r="H10" s="303" t="str">
        <x:v>Dean W. Fried (underlying mortgagor; indexed grantor)</x:v>
      </x:c>
      <x:c r="I10" s="303" t="str">
        <x:v>Park Properties, Inc. (mortgagee/releasor; indexed grantee)</x:v>
      </x:c>
      <x:c r="J10" s="303" t="str">
        <x:v>True corporate instrument; partial release against erroneous F-13 duplicate</x:v>
      </x:c>
      <x:c r="K10" s="303" t="str">
        <x:v>Releases the identified lot from the referenced mortgage while preserving the residue.</x:v>
      </x:c>
      <x:c r="L10" s="303" t="str">
        <x:v>Valuable consideration; amount unstated; Not applicable; mortgage release; Partial release; amount unstated; lien preserved on residue</x:v>
      </x:c>
      <x:c r="M10" s="315" t="str">
        <x:v>198402030051785 (F-13)</x:v>
      </x:c>
      <x:c r="N10" s="315" t="str">
        <x:v>198601070053215; 198601070053216</x:v>
      </x:c>
      <x:c r="O10" s="303" t="str">
        <x:v>https://franklin.oh.publicsearch.us/doc/129992402?department=RP</x:v>
      </x:c>
      <x:c r="P10" s="303" t="str">
        <x:v>Official detail/index plus one public page image; OCR and visual inspection</x:v>
      </x:c>
      <x:c r="Q10" s="303" t="str">
        <x:v>Substantively redundant because F-13 itself was an erroneous duplicate later discharged.</x:v>
      </x:c>
      <x:c r="R10" s="332" t="str">
        <x:f>IF(OR(ISNUMBER(SEARCH("zero public",P10)),ISNUMBER(SEARCH("unavailable",P10))),"Detail only","Image-backed")</x:f>
        <x:v>Image-backed</x:v>
      </x:c>
      <x:c r="S10" s="335" t="n">
        <x:f>IF(ISNUMBER(A10),YEAR(A10),VALUE(LEFT(A10,4)))</x:f>
        <x:v>1985</x:v>
      </x:c>
      <x:c r="T10" s="332" t="str">
        <x:f>IF(OR(ISNUMBER(SEARCH("Cherry",D10)),ISNUMBER(SEARCH("C-Wren",D10))),"Cherry / C-Wren / KG",IF(OR(ISNUMBER(SEARCH("Rocky Fork",D10)),ISNUMBER(SEARCH("N.A. Property",D10))),"Rocky / New Albany",IF(ISNUMBER(SEARCH("Morsham",D10)),"Morsham / Eastern",IF(ISNUMBER(SEARCH("Park Properties",D10)),"Park",IF(OR(ISNUMBER(SEARCH("H.H.D",D10)),ISNUMBER(SEARCH("Family Property Trust",D10))),"HHD / Trust","Other")))))</x:f>
        <x:v>Park</x:v>
      </x:c>
      <x:c r="U10" s="332" t="str">
        <x:f>S10&amp;"|"&amp;T10</x:f>
        <x:v>1985|Park</x:v>
      </x:c>
    </x:row>
    <x:row r="11" ht="58" customHeight="1">
      <x:c r="A11" s="312" t="n">
        <x:v>31398.5</x:v>
      </x:c>
      <x:c r="B11" s="315" t="str">
        <x:v>198512170169360</x:v>
      </x:c>
      <x:c r="C11" s="315" t="str">
        <x:v>129992399</x:v>
      </x:c>
      <x:c r="D11" s="303" t="str">
        <x:v>Park Properties / C.H. Development Group</x:v>
      </x:c>
      <x:c r="E11" s="303" t="str">
        <x:v>Lot 35, Anne E. Dennison's Subdivision / Dennison Summit Addition (PB 6, p. 15-A)</x:v>
      </x:c>
      <x:c r="F11" s="303"/>
      <x:c r="G11" s="303" t="str">
        <x:v>Partial Release of Mortgage (PRMO)</x:v>
      </x:c>
      <x:c r="H11" s="303" t="str">
        <x:v>Dean W. Fried (underlying mortgagor; indexed grantor)</x:v>
      </x:c>
      <x:c r="I11" s="303" t="str">
        <x:v>Park Properties, Inc. (mortgagee/releasor; indexed grantee)</x:v>
      </x:c>
      <x:c r="J11" s="303" t="str">
        <x:v>True corporate instrument; partial release against erroneous F-08 duplicate</x:v>
      </x:c>
      <x:c r="K11" s="303" t="str">
        <x:v>Releases the identified lot from the referenced mortgage while preserving the residue.</x:v>
      </x:c>
      <x:c r="L11" s="303" t="str">
        <x:v>Valuable consideration; amount unstated; Not applicable; mortgage release; Partial release; amount unstated; lien preserved on residue</x:v>
      </x:c>
      <x:c r="M11" s="315" t="str">
        <x:v>198402030051784 (F-08)</x:v>
      </x:c>
      <x:c r="N11" s="315" t="str">
        <x:v>198601070053215; 198601070053216; portal also marginally links 199309080030754</x:v>
      </x:c>
      <x:c r="O11" s="303" t="str">
        <x:v>https://franklin.oh.publicsearch.us/doc/129992399?department=RP</x:v>
      </x:c>
      <x:c r="P11" s="303" t="str">
        <x:v>Official detail/index plus one public page image; OCR and visual inspection</x:v>
      </x:c>
      <x:c r="Q11" s="303" t="str">
        <x:v>Substantively redundant because F-08 itself was an erroneous duplicate later discharged.</x:v>
      </x:c>
      <x:c r="R11" s="332" t="str">
        <x:f>IF(OR(ISNUMBER(SEARCH("zero public",P11)),ISNUMBER(SEARCH("unavailable",P11))),"Detail only","Image-backed")</x:f>
        <x:v>Image-backed</x:v>
      </x:c>
      <x:c r="S11" s="335" t="n">
        <x:f>IF(ISNUMBER(A11),YEAR(A11),VALUE(LEFT(A11,4)))</x:f>
        <x:v>1985</x:v>
      </x:c>
      <x:c r="T11" s="332" t="str">
        <x:f>IF(OR(ISNUMBER(SEARCH("Cherry",D11)),ISNUMBER(SEARCH("C-Wren",D11))),"Cherry / C-Wren / KG",IF(OR(ISNUMBER(SEARCH("Rocky Fork",D11)),ISNUMBER(SEARCH("N.A. Property",D11))),"Rocky / New Albany",IF(ISNUMBER(SEARCH("Morsham",D11)),"Morsham / Eastern",IF(ISNUMBER(SEARCH("Park Properties",D11)),"Park",IF(OR(ISNUMBER(SEARCH("H.H.D",D11)),ISNUMBER(SEARCH("Family Property Trust",D11))),"HHD / Trust","Other")))))</x:f>
        <x:v>Park</x:v>
      </x:c>
      <x:c r="U11" s="332" t="str">
        <x:f>S11&amp;"|"&amp;T11</x:f>
        <x:v>1985|Park</x:v>
      </x:c>
    </x:row>
    <x:row r="12" ht="58" customHeight="1">
      <x:c r="A12" s="312" t="n">
        <x:v>31398.5</x:v>
      </x:c>
      <x:c r="B12" s="315" t="str">
        <x:v>198512170169361</x:v>
      </x:c>
      <x:c r="C12" s="315" t="str">
        <x:v>129992397</x:v>
      </x:c>
      <x:c r="D12" s="303" t="str">
        <x:v>Park Properties / C.H. Development Group</x:v>
      </x:c>
      <x:c r="E12" s="303" t="str">
        <x:v>Lot 35, Anne E. Dennison's Subdivision / Dennison Summit Addition (PB 6, p. 15-A)</x:v>
      </x:c>
      <x:c r="F12" s="303"/>
      <x:c r="G12" s="303" t="str">
        <x:v>Partial Release of Mortgage (PRMO)</x:v>
      </x:c>
      <x:c r="H12" s="303" t="str">
        <x:v>Dean W. Fried (underlying mortgagor; indexed grantor)</x:v>
      </x:c>
      <x:c r="I12" s="303" t="str">
        <x:v>Park Properties, Inc. (mortgagee/releasor; indexed grantee)</x:v>
      </x:c>
      <x:c r="J12" s="303" t="str">
        <x:v>True corporate instrument; operative partial release against F-03</x:v>
      </x:c>
      <x:c r="K12" s="303" t="str">
        <x:v>Releases the identified lot from the referenced mortgage while preserving the residue.</x:v>
      </x:c>
      <x:c r="L12" s="303" t="str">
        <x:v>Valuable consideration; amount unstated; Not applicable; mortgage release; Partial release; amount unstated; lien preserved on residue</x:v>
      </x:c>
      <x:c r="M12" s="315" t="str">
        <x:v>198402030051783 (F-03)</x:v>
      </x:c>
      <x:c r="N12" s="315" t="str">
        <x:v>198703060079777; 199002200063673; portal also marginally links 199309080030750</x:v>
      </x:c>
      <x:c r="O12" s="303" t="str">
        <x:v>https://franklin.oh.publicsearch.us/doc/129992397?department=RP</x:v>
      </x:c>
      <x:c r="P12" s="303" t="str">
        <x:v>Official detail/index plus one public page image; OCR and visual inspection</x:v>
      </x:c>
      <x:c r="Q12" s="303" t="str">
        <x:v>This is the meaningful Lot 35 release because F-03 was the operative mortgage; the lien was expressly preserved on the remaining property.</x:v>
      </x:c>
      <x:c r="R12" s="332" t="str">
        <x:f>IF(OR(ISNUMBER(SEARCH("zero public",P12)),ISNUMBER(SEARCH("unavailable",P12))),"Detail only","Image-backed")</x:f>
        <x:v>Image-backed</x:v>
      </x:c>
      <x:c r="S12" s="335" t="n">
        <x:f>IF(ISNUMBER(A12),YEAR(A12),VALUE(LEFT(A12,4)))</x:f>
        <x:v>1985</x:v>
      </x:c>
      <x:c r="T12" s="332" t="str">
        <x:f>IF(OR(ISNUMBER(SEARCH("Cherry",D12)),ISNUMBER(SEARCH("C-Wren",D12))),"Cherry / C-Wren / KG",IF(OR(ISNUMBER(SEARCH("Rocky Fork",D12)),ISNUMBER(SEARCH("N.A. Property",D12))),"Rocky / New Albany",IF(ISNUMBER(SEARCH("Morsham",D12)),"Morsham / Eastern",IF(ISNUMBER(SEARCH("Park Properties",D12)),"Park",IF(OR(ISNUMBER(SEARCH("H.H.D",D12)),ISNUMBER(SEARCH("Family Property Trust",D12))),"HHD / Trust","Other")))))</x:f>
        <x:v>Park</x:v>
      </x:c>
      <x:c r="U12" s="332" t="str">
        <x:f>S12&amp;"|"&amp;T12</x:f>
        <x:v>1985|Park</x:v>
      </x:c>
    </x:row>
    <x:row r="13" ht="58" customHeight="1">
      <x:c r="A13" s="312" t="n">
        <x:v>31419.5</x:v>
      </x:c>
      <x:c r="B13" s="315" t="str">
        <x:v>198601070053215</x:v>
      </x:c>
      <x:c r="C13" s="315" t="str">
        <x:v>129998974</x:v>
      </x:c>
      <x:c r="D13" s="303" t="str">
        <x:v>Park Properties / C.H. Development Group</x:v>
      </x:c>
      <x:c r="E13" s="303" t="str">
        <x:v>Same five-tract collateral as F-03; portal index says NO LEGAL</x:v>
      </x:c>
      <x:c r="F13" s="303"/>
      <x:c r="G13" s="303" t="str">
        <x:v>Satisfaction of Mortgages / Release of Mortgage (REMO)</x:v>
      </x:c>
      <x:c r="H13" s="303" t="str">
        <x:v>Dean W. Fried (underlying mortgagor; indexed grantor)</x:v>
      </x:c>
      <x:c r="I13" s="303" t="str">
        <x:v>Park Properties, Inc. (mortgagee/certifying party; indexed grantee)</x:v>
      </x:c>
      <x:c r="J13" s="303" t="str">
        <x:v>True corporate instrument; first of two duplicate satisfactions discharging F-08 and F-13 recording errors</x:v>
      </x:c>
      <x:c r="K13" s="303" t="str">
        <x:v>Discharges the F-08/F-13 recording errors; does not release operative F-03.</x:v>
      </x:c>
      <x:c r="L13" s="303" t="str">
        <x:v>None stated; Not applicable; mortgage release; Discharges F-08 and F-13 as erroneous duplicates; expressly does not diminish F-03</x:v>
      </x:c>
      <x:c r="M13" s="315" t="str">
        <x:v>198402030051784; 198402030051785</x:v>
      </x:c>
      <x:c r="N13" s="315" t="str">
        <x:v>199309080030754 (portal marginal reference only)</x:v>
      </x:c>
      <x:c r="O13" s="303" t="str">
        <x:v>https://franklin.oh.publicsearch.us/doc/129998974?department=RP</x:v>
      </x:c>
      <x:c r="P13" s="303" t="str">
        <x:v>Official detail/index plus one public page image; OCR and visual inspection</x:v>
      </x:c>
      <x:c r="Q13" s="303" t="str">
        <x:v>Image says F-08/F-13 secure the same debt/property as F-03 and were recorded through recording-officer inadvertence. This is not a release of F-03.</x:v>
      </x:c>
      <x:c r="R13" s="332" t="str">
        <x:f>IF(OR(ISNUMBER(SEARCH("zero public",P13)),ISNUMBER(SEARCH("unavailable",P13))),"Detail only","Image-backed")</x:f>
        <x:v>Image-backed</x:v>
      </x:c>
      <x:c r="S13" s="335" t="n">
        <x:f>IF(ISNUMBER(A13),YEAR(A13),VALUE(LEFT(A13,4)))</x:f>
        <x:v>1986</x:v>
      </x:c>
      <x:c r="T13" s="332" t="str">
        <x:f>IF(OR(ISNUMBER(SEARCH("Cherry",D13)),ISNUMBER(SEARCH("C-Wren",D13))),"Cherry / C-Wren / KG",IF(OR(ISNUMBER(SEARCH("Rocky Fork",D13)),ISNUMBER(SEARCH("N.A. Property",D13))),"Rocky / New Albany",IF(ISNUMBER(SEARCH("Morsham",D13)),"Morsham / Eastern",IF(ISNUMBER(SEARCH("Park Properties",D13)),"Park",IF(OR(ISNUMBER(SEARCH("H.H.D",D13)),ISNUMBER(SEARCH("Family Property Trust",D13))),"HHD / Trust","Other")))))</x:f>
        <x:v>Park</x:v>
      </x:c>
      <x:c r="U13" s="332" t="str">
        <x:f>S13&amp;"|"&amp;T13</x:f>
        <x:v>1986|Park</x:v>
      </x:c>
    </x:row>
    <x:row r="14" ht="58" customHeight="1">
      <x:c r="A14" s="312" t="n">
        <x:v>31419.5</x:v>
      </x:c>
      <x:c r="B14" s="315" t="str">
        <x:v>198601070053216</x:v>
      </x:c>
      <x:c r="C14" s="315" t="str">
        <x:v>129998989</x:v>
      </x:c>
      <x:c r="D14" s="303" t="str">
        <x:v>Park Properties / C.H. Development Group</x:v>
      </x:c>
      <x:c r="E14" s="303" t="str">
        <x:v>Same five-tract collateral as F-03; portal index says NO LEGAL</x:v>
      </x:c>
      <x:c r="F14" s="303"/>
      <x:c r="G14" s="303" t="str">
        <x:v>Satisfaction of Mortgages / Release of Mortgage (REMO)</x:v>
      </x:c>
      <x:c r="H14" s="303" t="str">
        <x:v>Dean W. Fried (underlying mortgagor; indexed grantor)</x:v>
      </x:c>
      <x:c r="I14" s="303" t="str">
        <x:v>Park Properties, Inc. (mortgagee/certifying party; indexed grantee)</x:v>
      </x:c>
      <x:c r="J14" s="303" t="str">
        <x:v>True corporate instrument; second, substantively identical satisfaction discharging F-08 and F-13 recording errors</x:v>
      </x:c>
      <x:c r="K14" s="303" t="str">
        <x:v>Discharges the F-08/F-13 recording errors; does not release operative F-03.</x:v>
      </x:c>
      <x:c r="L14" s="303" t="str">
        <x:v>None stated; Not applicable; mortgage release; Discharges F-08 and F-13 as erroneous duplicates; expressly does not diminish F-03</x:v>
      </x:c>
      <x:c r="M14" s="315" t="str">
        <x:v>198402030051784; 198402030051785</x:v>
      </x:c>
      <x:c r="N14" s="315" t="str">
        <x:v>199309080030754 (portal marginal reference only)</x:v>
      </x:c>
      <x:c r="O14" s="303" t="str">
        <x:v>https://franklin.oh.publicsearch.us/doc/129998989?department=RP</x:v>
      </x:c>
      <x:c r="P14" s="303" t="str">
        <x:v>Official detail/index plus one public page image; OCR and visual inspection</x:v>
      </x:c>
      <x:c r="Q14" s="303" t="str">
        <x:v>This second recorder copy is substantively identical to 198601070053215; it is not a separate debt event and does not release F-03.</x:v>
      </x:c>
      <x:c r="R14" s="332" t="str">
        <x:f>IF(OR(ISNUMBER(SEARCH("zero public",P14)),ISNUMBER(SEARCH("unavailable",P14))),"Detail only","Image-backed")</x:f>
        <x:v>Image-backed</x:v>
      </x:c>
      <x:c r="S14" s="335" t="n">
        <x:f>IF(ISNUMBER(A14),YEAR(A14),VALUE(LEFT(A14,4)))</x:f>
        <x:v>1986</x:v>
      </x:c>
      <x:c r="T14" s="332" t="str">
        <x:f>IF(OR(ISNUMBER(SEARCH("Cherry",D14)),ISNUMBER(SEARCH("C-Wren",D14))),"Cherry / C-Wren / KG",IF(OR(ISNUMBER(SEARCH("Rocky Fork",D14)),ISNUMBER(SEARCH("N.A. Property",D14))),"Rocky / New Albany",IF(ISNUMBER(SEARCH("Morsham",D14)),"Morsham / Eastern",IF(ISNUMBER(SEARCH("Park Properties",D14)),"Park",IF(OR(ISNUMBER(SEARCH("H.H.D",D14)),ISNUMBER(SEARCH("Family Property Trust",D14))),"HHD / Trust","Other")))))</x:f>
        <x:v>Park</x:v>
      </x:c>
      <x:c r="U14" s="332" t="str">
        <x:f>S14&amp;"|"&amp;T14</x:f>
        <x:v>1986|Park</x:v>
      </x:c>
    </x:row>
    <x:row r="15" ht="58" customHeight="1">
      <x:c r="A15" s="312" t="n">
        <x:v>31651.5</x:v>
      </x:c>
      <x:c r="B15" s="315" t="str">
        <x:v>198608270148627</x:v>
      </x:c>
      <x:c r="C15" s="315" t="str">
        <x:v>130093947</x:v>
      </x:c>
      <x:c r="D15" s="303" t="str">
        <x:v>INN Investment / BI Limited Partnership</x:v>
      </x:c>
      <x:c r="E15" s="303" t="str">
        <x:v>No parcel stated; Columbus hotel venture</x:v>
      </x:c>
      <x:c r="F15" s="303"/>
      <x:c r="G15" s="303" t="str">
        <x:v>Limited-partnership certificate</x:v>
      </x:c>
      <x:c r="H15" s="303" t="str">
        <x:v>Boulevard Inn Management Corp. and limited partners including INN Investment Corp.</x:v>
      </x:c>
      <x:c r="I15" s="303" t="str">
        <x:v>BI Limited Partnership</x:v>
      </x:c>
      <x:c r="J15" s="303" t="str">
        <x:v>INN Investment is a limited partner; Dorothy Snow signs as INN president.</x:v>
      </x:c>
      <x:c r="K15" s="303" t="str">
        <x:v>Creates/records partnership interest; no deed or fee-title transfer.</x:v>
      </x:c>
      <x:c r="L15" s="303" t="str">
        <x:v>INN conditional cash contribution capped at $831,680; possible deficit contribution capped at $50,000.</x:v>
      </x:c>
      <x:c r="M15" s="315"/>
      <x:c r="N15" s="315"/>
      <x:c r="O15" s="303" t="str">
        <x:v>https://franklin.oh.publicsearch.us/doc/130093947?department=RP</x:v>
      </x:c>
      <x:c r="P15" s="303" t="str">
        <x:v>Primary recorder images retrieved; OCR reviewed; material pages visually inspected.</x:v>
      </x:c>
      <x:c r="Q15" s="303" t="str">
        <x:v>Partnership contribution obligations are not a hotel purchase price, mortgage, or proof that INN held fee title.</x:v>
      </x:c>
      <x:c r="R15" s="332" t="str">
        <x:f>IF(OR(ISNUMBER(SEARCH("zero public",P15)),ISNUMBER(SEARCH("unavailable",P15))),"Detail only","Image-backed")</x:f>
        <x:v>Image-backed</x:v>
      </x:c>
      <x:c r="S15" s="335" t="n">
        <x:f>IF(ISNUMBER(A15),YEAR(A15),VALUE(LEFT(A15,4)))</x:f>
        <x:v>1986</x:v>
      </x:c>
      <x:c r="T15" s="332" t="str">
        <x:f>IF(OR(ISNUMBER(SEARCH("Cherry",D15)),ISNUMBER(SEARCH("C-Wren",D15))),"Cherry / C-Wren / KG",IF(OR(ISNUMBER(SEARCH("Rocky Fork",D15)),ISNUMBER(SEARCH("N.A. Property",D15))),"Rocky / New Albany",IF(ISNUMBER(SEARCH("Morsham",D15)),"Morsham / Eastern",IF(ISNUMBER(SEARCH("Park Properties",D15)),"Park",IF(OR(ISNUMBER(SEARCH("H.H.D",D15)),ISNUMBER(SEARCH("Family Property Trust",D15))),"HHD / Trust","Other")))))</x:f>
        <x:v>Other</x:v>
      </x:c>
      <x:c r="U15" s="332" t="str">
        <x:f>S15&amp;"|"&amp;T15</x:f>
        <x:v>1986|Other</x:v>
      </x:c>
    </x:row>
    <x:row r="16" ht="58" customHeight="1">
      <x:c r="A16" s="312" t="n">
        <x:v>31789.5</x:v>
      </x:c>
      <x:c r="B16" s="315" t="str">
        <x:v>198701120055143</x:v>
      </x:c>
      <x:c r="C16" s="315" t="str">
        <x:v>130160438</x:v>
      </x:c>
      <x:c r="D16" s="303" t="str">
        <x:v>Rocky Fork Development / The New Albany Company</x:v>
      </x:c>
      <x:c r="E16" s="303" t="str">
        <x:v>House tract at southeast corner of Johnstown Road and Morse Road, plus related parcel</x:v>
      </x:c>
      <x:c r="F16" s="303" t="str">
        <x:v>1.873-acre premises; index also notes 2.990-acre related parcel</x:v>
      </x:c>
      <x:c r="G16" s="303" t="str">
        <x:v>memorandum of lease</x:v>
      </x:c>
      <x:c r="H16" s="303" t="str">
        <x:v>Roma M. Toney and Maggie Toney (lessors)</x:v>
      </x:c>
      <x:c r="I16" s="303" t="str">
        <x:v>Brewer Farms, Inc. (lessee)</x:v>
      </x:c>
      <x:c r="J16" s="303" t="str">
        <x:v>none; predecessor lease later assigned by Rocky Fork as Brewer's merger successor</x:v>
      </x:c>
      <x:c r="K16" s="303" t="str">
        <x:v>Creates long-term leasehold through 2085 and purchase option; does not convey fee title.</x:v>
      </x:c>
      <x:c r="L16" s="303" t="str">
        <x:v>$1 rent and other good and valuable consideration; financing context: Predecessor contract/lease later assigned in instrument 198712310221402.; stamp: transfer exempt</x:v>
      </x:c>
      <x:c r="M16" s="315"/>
      <x:c r="N16" s="315"/>
      <x:c r="O16" s="303" t="str">
        <x:v>https://franklin.oh.publicsearch.us/doc/130160438?department=RP</x:v>
      </x:c>
      <x:c r="P16" s="303" t="str">
        <x:v>image_retrieved_ocr_reviewed</x:v>
      </x:c>
      <x:c r="Q16" s="303" t="str">
        <x:v>Recorder index reverses the lease-party direction: image text identifies the Toneys as lessors and Brewer Farms as lessee. Nominal stated consideration is not treated as sale price. Execution/effective date: 1986 (assignment recites lease dated 1986-12-31).</x:v>
      </x:c>
      <x:c r="R16" s="332" t="str">
        <x:f>IF(OR(ISNUMBER(SEARCH("zero public",P16)),ISNUMBER(SEARCH("unavailable",P16))),"Detail only","Image-backed")</x:f>
        <x:v>Image-backed</x:v>
      </x:c>
      <x:c r="S16" s="335" t="n">
        <x:f>IF(ISNUMBER(A16),YEAR(A16),VALUE(LEFT(A16,4)))</x:f>
        <x:v>1987</x:v>
      </x:c>
      <x:c r="T16" s="332" t="str">
        <x:f>IF(OR(ISNUMBER(SEARCH("Cherry",D16)),ISNUMBER(SEARCH("C-Wren",D16))),"Cherry / C-Wren / KG",IF(OR(ISNUMBER(SEARCH("Rocky Fork",D16)),ISNUMBER(SEARCH("N.A. Property",D16))),"Rocky / New Albany",IF(ISNUMBER(SEARCH("Morsham",D16)),"Morsham / Eastern",IF(ISNUMBER(SEARCH("Park Properties",D16)),"Park",IF(OR(ISNUMBER(SEARCH("H.H.D",D16)),ISNUMBER(SEARCH("Family Property Trust",D16))),"HHD / Trust","Other")))))</x:f>
        <x:v>Rocky / New Albany</x:v>
      </x:c>
      <x:c r="U16" s="332" t="str">
        <x:f>S16&amp;"|"&amp;T16</x:f>
        <x:v>1987|Rocky / New Albany</x:v>
      </x:c>
    </x:row>
    <x:row r="17" ht="58" customHeight="1">
      <x:c r="A17" s="312" t="n">
        <x:v>31842.5</x:v>
      </x:c>
      <x:c r="B17" s="315" t="str">
        <x:v>198703060079777</x:v>
      </x:c>
      <x:c r="C17" s="315" t="str">
        <x:v>130185249</x:v>
      </x:c>
      <x:c r="D17" s="303" t="str">
        <x:v>Park Properties / C.H. Development Group</x:v>
      </x:c>
      <x:c r="E17" s="303" t="str">
        <x:v>Lot 27, Block 1, Indianola Summit Addition (PB 5, p. 140)</x:v>
      </x:c>
      <x:c r="F17" s="303"/>
      <x:c r="G17" s="303" t="str">
        <x:v>Partial Release of Mortgage (PRMO)</x:v>
      </x:c>
      <x:c r="H17" s="303" t="str">
        <x:v>Dean W. Fried (underlying mortgagor; indexed grantor)</x:v>
      </x:c>
      <x:c r="I17" s="303" t="str">
        <x:v>Park Properties, Inc. (mortgagee/releasor; indexed grantee)</x:v>
      </x:c>
      <x:c r="J17" s="303" t="str">
        <x:v>True corporate instrument; operative partial release against F-03</x:v>
      </x:c>
      <x:c r="K17" s="303" t="str">
        <x:v>Releases the identified lot from the referenced mortgage while preserving the residue.</x:v>
      </x:c>
      <x:c r="L17" s="303" t="str">
        <x:v>Valuable consideration; amount unstated; Not applicable; mortgage release; Partial release; amount unstated; lien preserved on residue</x:v>
      </x:c>
      <x:c r="M17" s="315" t="str">
        <x:v>198402030051783 (F-03)</x:v>
      </x:c>
      <x:c r="N17" s="315" t="str">
        <x:v>199002200063673; portal also marginally links 199309080030750</x:v>
      </x:c>
      <x:c r="O17" s="303" t="str">
        <x:v>https://franklin.oh.publicsearch.us/doc/130185249?department=RP</x:v>
      </x:c>
      <x:c r="P17" s="303" t="str">
        <x:v>Official detail/index plus two public page images; OCR both; both visually inspected (page 2 is recorder-stamp/back page)</x:v>
      </x:c>
      <x:c r="Q17" s="303" t="str">
        <x:v>Releases only Lot 27 and preserves the F-03 lien on the residue.</x:v>
      </x:c>
      <x:c r="R17" s="332" t="str">
        <x:f>IF(OR(ISNUMBER(SEARCH("zero public",P17)),ISNUMBER(SEARCH("unavailable",P17))),"Detail only","Image-backed")</x:f>
        <x:v>Image-backed</x:v>
      </x:c>
      <x:c r="S17" s="335" t="n">
        <x:f>IF(ISNUMBER(A17),YEAR(A17),VALUE(LEFT(A17,4)))</x:f>
        <x:v>1987</x:v>
      </x:c>
      <x:c r="T17" s="332" t="str">
        <x:f>IF(OR(ISNUMBER(SEARCH("Cherry",D17)),ISNUMBER(SEARCH("C-Wren",D17))),"Cherry / C-Wren / KG",IF(OR(ISNUMBER(SEARCH("Rocky Fork",D17)),ISNUMBER(SEARCH("N.A. Property",D17))),"Rocky / New Albany",IF(ISNUMBER(SEARCH("Morsham",D17)),"Morsham / Eastern",IF(ISNUMBER(SEARCH("Park Properties",D17)),"Park",IF(OR(ISNUMBER(SEARCH("H.H.D",D17)),ISNUMBER(SEARCH("Family Property Trust",D17))),"HHD / Trust","Other")))))</x:f>
        <x:v>Park</x:v>
      </x:c>
      <x:c r="U17" s="332" t="str">
        <x:f>S17&amp;"|"&amp;T17</x:f>
        <x:v>1987|Park</x:v>
      </x:c>
    </x:row>
    <x:row r="18" ht="58" customHeight="1">
      <x:c r="A18" s="312" t="n">
        <x:v>32142.5</x:v>
      </x:c>
      <x:c r="B18" s="315" t="str">
        <x:v>198712310221262</x:v>
      </x:c>
      <x:c r="C18" s="315" t="str">
        <x:v>130327027</x:v>
      </x:c>
      <x:c r="D18" s="303" t="str">
        <x:v>Rocky Fork Development / The New Albany Company</x:v>
      </x:c>
      <x:c r="E18" s="303" t="str">
        <x:v>The New Albany Company formation</x:v>
      </x:c>
      <x:c r="F18" s="303"/>
      <x:c r="G18" s="303" t="str">
        <x:v>partnership certificate</x:v>
      </x:c>
      <x:c r="H18" s="303" t="str">
        <x:v>Rocky Fork Development Corporation and Blacklick Investments, Inc. (partners)</x:v>
      </x:c>
      <x:c r="I18" s="303" t="str">
        <x:v>The New Albany Company (Ohio general partnership)</x:v>
      </x:c>
      <x:c r="J18" s="303" t="str">
        <x:v>general partner of The New Albany Company</x:v>
      </x:c>
      <x:c r="K18" s="303" t="str">
        <x:v>Creates/records partnership interests; no fee-title transfer.</x:v>
      </x:c>
      <x:c r="L18" s="303" t="str">
        <x:v>Financing context: Partnership structure, not financing.</x:v>
      </x:c>
      <x:c r="M18" s="315"/>
      <x:c r="N18" s="315"/>
      <x:c r="O18" s="303" t="str">
        <x:v>https://franklin.oh.publicsearch.us/doc/130327027?department=RP</x:v>
      </x:c>
      <x:c r="P18" s="303" t="str">
        <x:v>image_visual_verified</x:v>
      </x:c>
      <x:c r="Q18" s="303" t="str">
        <x:v>Index treats New Albany as grantor and Rocky Fork as grantee, but the image is a partnership certificate. Execution/effective date: 1987-08-26. Partnership status/control is not itself a fee-title or beneficial-ownership event.</x:v>
      </x:c>
      <x:c r="R18" s="332" t="str">
        <x:f>IF(OR(ISNUMBER(SEARCH("zero public",P18)),ISNUMBER(SEARCH("unavailable",P18))),"Detail only","Image-backed")</x:f>
        <x:v>Image-backed</x:v>
      </x:c>
      <x:c r="S18" s="335" t="n">
        <x:f>IF(ISNUMBER(A18),YEAR(A18),VALUE(LEFT(A18,4)))</x:f>
        <x:v>1987</x:v>
      </x:c>
      <x:c r="T18" s="332" t="str">
        <x:f>IF(OR(ISNUMBER(SEARCH("Cherry",D18)),ISNUMBER(SEARCH("C-Wren",D18))),"Cherry / C-Wren / KG",IF(OR(ISNUMBER(SEARCH("Rocky Fork",D18)),ISNUMBER(SEARCH("N.A. Property",D18))),"Rocky / New Albany",IF(ISNUMBER(SEARCH("Morsham",D18)),"Morsham / Eastern",IF(ISNUMBER(SEARCH("Park Properties",D18)),"Park",IF(OR(ISNUMBER(SEARCH("H.H.D",D18)),ISNUMBER(SEARCH("Family Property Trust",D18))),"HHD / Trust","Other")))))</x:f>
        <x:v>Rocky / New Albany</x:v>
      </x:c>
      <x:c r="U18" s="332" t="str">
        <x:f>S18&amp;"|"&amp;T18</x:f>
        <x:v>1987|Rocky / New Albany</x:v>
      </x:c>
    </x:row>
    <x:row r="19" ht="58" customHeight="1">
      <x:c r="A19" s="312" t="n">
        <x:v>32142.5</x:v>
      </x:c>
      <x:c r="B19" s="315" t="str">
        <x:v>198712310221397</x:v>
      </x:c>
      <x:c r="C19" s="315" t="str">
        <x:v>130326655</x:v>
      </x:c>
      <x:c r="D19" s="303" t="str">
        <x:v>Rocky Fork Development / The New Albany Company</x:v>
      </x:c>
      <x:c r="E19" s="303" t="str">
        <x:v>170-697; 170-1391 | Brewer Farms land</x:v>
      </x:c>
      <x:c r="F19" s="303" t="str">
        <x:v>index/front page: 2.990 + 4.697 = 7.687 acres; exhibit also contains 4.550-acre figure</x:v>
      </x:c>
      <x:c r="G19" s="303" t="str">
        <x:v>limited warranty deed</x:v>
      </x:c>
      <x:c r="H19" s="303" t="str">
        <x:v>Rocky Fork Development Corporation, successor by merger to Brewer Farms, Inc.</x:v>
      </x:c>
      <x:c r="I19" s="303" t="str">
        <x:v>The New Albany Company, Ohio general partnership</x:v>
      </x:c>
      <x:c r="J19" s="303" t="str">
        <x:v>fee grantor as surviving corporation of Brewer Farms; “successor by merger to Brewer Farms, Inc.”</x:v>
      </x:c>
      <x:c r="K19" s="303" t="str">
        <x:v>Conveys two Franklin County parcels to New Albany Company by limited warranty deed.</x:v>
      </x:c>
      <x:c r="L19" s="303" t="str">
        <x:v>valuable consideration paid; stamp: partnership / conveyance tax exempt</x:v>
      </x:c>
      <x:c r="M19" s="315" t="str">
        <x:v>Deed Records 08663 G14; 10784 F11 (handwritten)</x:v>
      </x:c>
      <x:c r="N19" s="315"/>
      <x:c r="O19" s="303" t="str">
        <x:v>https://franklin.oh.publicsearch.us/doc/130326655?department=RP</x:v>
      </x:c>
      <x:c r="P19" s="303" t="str">
        <x:v>image_visual_verified</x:v>
      </x:c>
      <x:c r="Q19" s="303" t="str">
        <x:v>Internal acreage discrepancy: index/front page says 4.697 acres, while one exhibit sentence reads 4.550 acres. Conveyance-tax/fee figures are not treated as sale price. Recorder recital supports this land-title/capacity event but is not the underlying statutory merger certificate. Execution/effective date: 1987-12-31.</x:v>
      </x:c>
      <x:c r="R19" s="332" t="str">
        <x:f>IF(OR(ISNUMBER(SEARCH("zero public",P19)),ISNUMBER(SEARCH("unavailable",P19))),"Detail only","Image-backed")</x:f>
        <x:v>Image-backed</x:v>
      </x:c>
      <x:c r="S19" s="335" t="n">
        <x:f>IF(ISNUMBER(A19),YEAR(A19),VALUE(LEFT(A19,4)))</x:f>
        <x:v>1987</x:v>
      </x:c>
      <x:c r="T19" s="332" t="str">
        <x:f>IF(OR(ISNUMBER(SEARCH("Cherry",D19)),ISNUMBER(SEARCH("C-Wren",D19))),"Cherry / C-Wren / KG",IF(OR(ISNUMBER(SEARCH("Rocky Fork",D19)),ISNUMBER(SEARCH("N.A. Property",D19))),"Rocky / New Albany",IF(ISNUMBER(SEARCH("Morsham",D19)),"Morsham / Eastern",IF(ISNUMBER(SEARCH("Park Properties",D19)),"Park",IF(OR(ISNUMBER(SEARCH("H.H.D",D19)),ISNUMBER(SEARCH("Family Property Trust",D19))),"HHD / Trust","Other")))))</x:f>
        <x:v>Rocky / New Albany</x:v>
      </x:c>
      <x:c r="U19" s="332" t="str">
        <x:f>S19&amp;"|"&amp;T19</x:f>
        <x:v>1987|Rocky / New Albany</x:v>
      </x:c>
    </x:row>
    <x:row r="20" ht="58" customHeight="1">
      <x:c r="A20" s="312" t="n">
        <x:v>32142.5</x:v>
      </x:c>
      <x:c r="B20" s="315" t="str">
        <x:v>198712310221398</x:v>
      </x:c>
      <x:c r="C20" s="315" t="str">
        <x:v>130326650</x:v>
      </x:c>
      <x:c r="D20" s="303" t="str">
        <x:v>Rocky Fork Development / The New Albany Company</x:v>
      </x:c>
      <x:c r="E20" s="303" t="str">
        <x:v>170-1847; 170-1815; 170-1810; 170-184 | Hinson-company land</x:v>
      </x:c>
      <x:c r="F20" s="303" t="str">
        <x:v>52.041 + 10.506 + 30.700 = 93.247 labeled acres</x:v>
      </x:c>
      <x:c r="G20" s="303" t="str">
        <x:v>limited warranty deed</x:v>
      </x:c>
      <x:c r="H20" s="303" t="str">
        <x:v>Rocky Fork Development Corporation, successor by merger to The Hinson Company</x:v>
      </x:c>
      <x:c r="I20" s="303" t="str">
        <x:v>The New Albany Company, Ohio general partnership</x:v>
      </x:c>
      <x:c r="J20" s="303" t="str">
        <x:v>fee grantor as surviving corporation of Hinson; “successor by merger to The Hinson Company”</x:v>
      </x:c>
      <x:c r="K20" s="303" t="str">
        <x:v>Conveys four Franklin County parcels to New Albany Company by limited warranty deed.</x:v>
      </x:c>
      <x:c r="L20" s="303" t="str">
        <x:v>valuable consideration paid; stamp: partnership / conveyance tax exempt</x:v>
      </x:c>
      <x:c r="M20" s="315" t="str">
        <x:v>Deed Records 08619 D05; 08102 J18; 08782 H05</x:v>
      </x:c>
      <x:c r="N20" s="315"/>
      <x:c r="O20" s="303" t="str">
        <x:v>https://franklin.oh.publicsearch.us/doc/130326650?department=RP</x:v>
      </x:c>
      <x:c r="P20" s="303" t="str">
        <x:v>image_visual_verified</x:v>
      </x:c>
      <x:c r="Q20" s="303" t="str">
        <x:v>Conveyance-tax/fee figures are not treated as sale price. Recorder recital supports this land-title/capacity event but is not the underlying statutory merger certificate. Execution/effective date: 1987-12-31.</x:v>
      </x:c>
      <x:c r="R20" s="332" t="str">
        <x:f>IF(OR(ISNUMBER(SEARCH("zero public",P20)),ISNUMBER(SEARCH("unavailable",P20))),"Detail only","Image-backed")</x:f>
        <x:v>Image-backed</x:v>
      </x:c>
      <x:c r="S20" s="335" t="n">
        <x:f>IF(ISNUMBER(A20),YEAR(A20),VALUE(LEFT(A20,4)))</x:f>
        <x:v>1987</x:v>
      </x:c>
      <x:c r="T20" s="332" t="str">
        <x:f>IF(OR(ISNUMBER(SEARCH("Cherry",D20)),ISNUMBER(SEARCH("C-Wren",D20))),"Cherry / C-Wren / KG",IF(OR(ISNUMBER(SEARCH("Rocky Fork",D20)),ISNUMBER(SEARCH("N.A. Property",D20))),"Rocky / New Albany",IF(ISNUMBER(SEARCH("Morsham",D20)),"Morsham / Eastern",IF(ISNUMBER(SEARCH("Park Properties",D20)),"Park",IF(OR(ISNUMBER(SEARCH("H.H.D",D20)),ISNUMBER(SEARCH("Family Property Trust",D20))),"HHD / Trust","Other")))))</x:f>
        <x:v>Rocky / New Albany</x:v>
      </x:c>
      <x:c r="U20" s="332" t="str">
        <x:f>S20&amp;"|"&amp;T20</x:f>
        <x:v>1987|Rocky / New Albany</x:v>
      </x:c>
    </x:row>
    <x:row r="21" ht="58" customHeight="1">
      <x:c r="A21" s="312" t="n">
        <x:v>32142.5</x:v>
      </x:c>
      <x:c r="B21" s="315" t="str">
        <x:v>198712310221399</x:v>
      </x:c>
      <x:c r="C21" s="315" t="str">
        <x:v>130326654</x:v>
      </x:c>
      <x:c r="D21" s="303" t="str">
        <x:v>Rocky Fork Development / The New Albany Company</x:v>
      </x:c>
      <x:c r="E21" s="303" t="str">
        <x:v>170-279 | Central Falls land</x:v>
      </x:c>
      <x:c r="F21" s="303" t="str">
        <x:v>40.000 acres</x:v>
      </x:c>
      <x:c r="G21" s="303" t="str">
        <x:v>limited warranty deed</x:v>
      </x:c>
      <x:c r="H21" s="303" t="str">
        <x:v>Rocky Fork Development Corporation, successor by merger to Central Falls, Inc.</x:v>
      </x:c>
      <x:c r="I21" s="303" t="str">
        <x:v>The New Albany Company, Ohio general partnership</x:v>
      </x:c>
      <x:c r="J21" s="303" t="str">
        <x:v>fee grantor as surviving corporation of Central Falls; “successor by merger to Central Falls, Inc.”</x:v>
      </x:c>
      <x:c r="K21" s="303" t="str">
        <x:v>Conveys one Franklin County parcel to New Albany Company by limited warranty deed.</x:v>
      </x:c>
      <x:c r="L21" s="303" t="str">
        <x:v>valuable consideration paid; stamp: partnership / conveyance tax exempt</x:v>
      </x:c>
      <x:c r="M21" s="315" t="str">
        <x:v>Deed Records 08662 A16</x:v>
      </x:c>
      <x:c r="N21" s="315"/>
      <x:c r="O21" s="303" t="str">
        <x:v>https://franklin.oh.publicsearch.us/doc/130326654?department=RP</x:v>
      </x:c>
      <x:c r="P21" s="303" t="str">
        <x:v>image_visual_verified</x:v>
      </x:c>
      <x:c r="Q21" s="303" t="str">
        <x:v>Conveyance-tax/fee figures are not treated as sale price. Recorder recital supports this land-title/capacity event but is not the underlying statutory merger certificate. Execution/effective date: 1987-12-31.</x:v>
      </x:c>
      <x:c r="R21" s="332" t="str">
        <x:f>IF(OR(ISNUMBER(SEARCH("zero public",P21)),ISNUMBER(SEARCH("unavailable",P21))),"Detail only","Image-backed")</x:f>
        <x:v>Image-backed</x:v>
      </x:c>
      <x:c r="S21" s="335" t="n">
        <x:f>IF(ISNUMBER(A21),YEAR(A21),VALUE(LEFT(A21,4)))</x:f>
        <x:v>1987</x:v>
      </x:c>
      <x:c r="T21" s="332" t="str">
        <x:f>IF(OR(ISNUMBER(SEARCH("Cherry",D21)),ISNUMBER(SEARCH("C-Wren",D21))),"Cherry / C-Wren / KG",IF(OR(ISNUMBER(SEARCH("Rocky Fork",D21)),ISNUMBER(SEARCH("N.A. Property",D21))),"Rocky / New Albany",IF(ISNUMBER(SEARCH("Morsham",D21)),"Morsham / Eastern",IF(ISNUMBER(SEARCH("Park Properties",D21)),"Park",IF(OR(ISNUMBER(SEARCH("H.H.D",D21)),ISNUMBER(SEARCH("Family Property Trust",D21))),"HHD / Trust","Other")))))</x:f>
        <x:v>Rocky / New Albany</x:v>
      </x:c>
      <x:c r="U21" s="332" t="str">
        <x:f>S21&amp;"|"&amp;T21</x:f>
        <x:v>1987|Rocky / New Albany</x:v>
      </x:c>
    </x:row>
    <x:row r="22" ht="58" customHeight="1">
      <x:c r="A22" s="312" t="n">
        <x:v>32142.5</x:v>
      </x:c>
      <x:c r="B22" s="315" t="str">
        <x:v>198712310221400</x:v>
      </x:c>
      <x:c r="C22" s="315" t="str">
        <x:v>130326661</x:v>
      </x:c>
      <x:c r="D22" s="303" t="str">
        <x:v>Rocky Fork Development / The New Albany Company</x:v>
      </x:c>
      <x:c r="E22" s="303" t="str">
        <x:v>170-243; 170-81; 170-288 | Bearce Hollow land</x:v>
      </x:c>
      <x:c r="F22" s="303" t="str">
        <x:v>28.427 + 46.292 = 74.719 labeled acres</x:v>
      </x:c>
      <x:c r="G22" s="303" t="str">
        <x:v>limited warranty deed</x:v>
      </x:c>
      <x:c r="H22" s="303" t="str">
        <x:v>Rocky Fork Development Corporation, successor by merger to Bearce Hollow, Inc.</x:v>
      </x:c>
      <x:c r="I22" s="303" t="str">
        <x:v>The New Albany Company, Ohio general partnership</x:v>
      </x:c>
      <x:c r="J22" s="303" t="str">
        <x:v>fee grantor as surviving corporation of Bearce Hollow; “successor by merger to Bearce Hollow, Inc.”</x:v>
      </x:c>
      <x:c r="K22" s="303" t="str">
        <x:v>Conveys three Franklin County parcels to New Albany Company by limited warranty deed.</x:v>
      </x:c>
      <x:c r="L22" s="303" t="str">
        <x:v>valuable consideration paid; stamp: partnership / conveyance tax exempt</x:v>
      </x:c>
      <x:c r="M22" s="315" t="str">
        <x:v>Deed Records 08811 G10</x:v>
      </x:c>
      <x:c r="N22" s="315"/>
      <x:c r="O22" s="303" t="str">
        <x:v>https://franklin.oh.publicsearch.us/doc/130326661?department=RP</x:v>
      </x:c>
      <x:c r="P22" s="303" t="str">
        <x:v>image_visual_verified</x:v>
      </x:c>
      <x:c r="Q22" s="303" t="str">
        <x:v>Conveyance-tax/fee figures are not treated as sale price. Recorder recital supports this land-title/capacity event but is not the underlying statutory merger certificate. Execution/effective date: 1987-12-31.</x:v>
      </x:c>
      <x:c r="R22" s="332" t="str">
        <x:f>IF(OR(ISNUMBER(SEARCH("zero public",P22)),ISNUMBER(SEARCH("unavailable",P22))),"Detail only","Image-backed")</x:f>
        <x:v>Image-backed</x:v>
      </x:c>
      <x:c r="S22" s="335" t="n">
        <x:f>IF(ISNUMBER(A22),YEAR(A22),VALUE(LEFT(A22,4)))</x:f>
        <x:v>1987</x:v>
      </x:c>
      <x:c r="T22" s="332" t="str">
        <x:f>IF(OR(ISNUMBER(SEARCH("Cherry",D22)),ISNUMBER(SEARCH("C-Wren",D22))),"Cherry / C-Wren / KG",IF(OR(ISNUMBER(SEARCH("Rocky Fork",D22)),ISNUMBER(SEARCH("N.A. Property",D22))),"Rocky / New Albany",IF(ISNUMBER(SEARCH("Morsham",D22)),"Morsham / Eastern",IF(ISNUMBER(SEARCH("Park Properties",D22)),"Park",IF(OR(ISNUMBER(SEARCH("H.H.D",D22)),ISNUMBER(SEARCH("Family Property Trust",D22))),"HHD / Trust","Other")))))</x:f>
        <x:v>Rocky / New Albany</x:v>
      </x:c>
      <x:c r="U22" s="332" t="str">
        <x:f>S22&amp;"|"&amp;T22</x:f>
        <x:v>1987|Rocky / New Albany</x:v>
      </x:c>
    </x:row>
    <x:row r="23" ht="58" customHeight="1">
      <x:c r="A23" s="312" t="n">
        <x:v>32142.5</x:v>
      </x:c>
      <x:c r="B23" s="315" t="str">
        <x:v>198712310221402</x:v>
      </x:c>
      <x:c r="C23" s="315" t="str">
        <x:v>130326514</x:v>
      </x:c>
      <x:c r="D23" s="303" t="str">
        <x:v>Rocky Fork Development / The New Albany Company</x:v>
      </x:c>
      <x:c r="E23" s="303" t="str">
        <x:v>Toney house tract and structures; underlying predecessor lease OR 08878 E20</x:v>
      </x:c>
      <x:c r="F23" s="303" t="str">
        <x:v>1.873 acres</x:v>
      </x:c>
      <x:c r="G23" s="303" t="str">
        <x:v>memorandum of assignment of lease</x:v>
      </x:c>
      <x:c r="H23" s="303" t="str">
        <x:v>Rocky Fork Development Corporation, successor by merger to Brewer Farms, Inc. (assignor)</x:v>
      </x:c>
      <x:c r="I23" s="303" t="str">
        <x:v>The New Albany Company (assignee)</x:v>
      </x:c>
      <x:c r="J23" s="303" t="str">
        <x:v>leasehold assignor as Brewer Farms' merger successor; also signs for assignee as New Albany general partner; “Assignor is the successor by merger to Brewer Farms, Inc. under the Lease.”</x:v>
      </x:c>
      <x:c r="K23" s="303" t="str">
        <x:v>Assigns all right, title, and interest under the Toney lease to New Albany, which assumes the obligations; no fee-title transfer.</x:v>
      </x:c>
      <x:c r="L23" s="303" t="str">
        <x:v>valuable consideration, receipt and sufficiency acknowledged; financing context: Lease/contract transfer, not mortgage financing.</x:v>
      </x:c>
      <x:c r="M23" s="315" t="str">
        <x:v>OR 08878 E20; lease instrument 198701120055143</x:v>
      </x:c>
      <x:c r="N23" s="315"/>
      <x:c r="O23" s="303" t="str">
        <x:v>https://franklin.oh.publicsearch.us/doc/130326514?department=RP</x:v>
      </x:c>
      <x:c r="P23" s="303" t="str">
        <x:v>image_visual_verified</x:v>
      </x:c>
      <x:c r="Q23" s="303" t="str">
        <x:v>Recorder index includes the original Toneys and Brewer Farms, but the image is the later Rocky Fork-to-New Albany lease assignment. Recorder recital supports this land-title/capacity event but is not the underlying statutory merger certificate. Execution/effective date: 1987-12-31.</x:v>
      </x:c>
      <x:c r="R23" s="332" t="str">
        <x:f>IF(OR(ISNUMBER(SEARCH("zero public",P23)),ISNUMBER(SEARCH("unavailable",P23))),"Detail only","Image-backed")</x:f>
        <x:v>Image-backed</x:v>
      </x:c>
      <x:c r="S23" s="335" t="n">
        <x:f>IF(ISNUMBER(A23),YEAR(A23),VALUE(LEFT(A23,4)))</x:f>
        <x:v>1987</x:v>
      </x:c>
      <x:c r="T23" s="332" t="str">
        <x:f>IF(OR(ISNUMBER(SEARCH("Cherry",D23)),ISNUMBER(SEARCH("C-Wren",D23))),"Cherry / C-Wren / KG",IF(OR(ISNUMBER(SEARCH("Rocky Fork",D23)),ISNUMBER(SEARCH("N.A. Property",D23))),"Rocky / New Albany",IF(ISNUMBER(SEARCH("Morsham",D23)),"Morsham / Eastern",IF(ISNUMBER(SEARCH("Park Properties",D23)),"Park",IF(OR(ISNUMBER(SEARCH("H.H.D",D23)),ISNUMBER(SEARCH("Family Property Trust",D23))),"HHD / Trust","Other")))))</x:f>
        <x:v>Rocky / New Albany</x:v>
      </x:c>
      <x:c r="U23" s="332" t="str">
        <x:f>S23&amp;"|"&amp;T23</x:f>
        <x:v>1987|Rocky / New Albany</x:v>
      </x:c>
    </x:row>
    <x:row r="24" ht="58" customHeight="1">
      <x:c r="A24" s="312" t="n">
        <x:v>32142.5</x:v>
      </x:c>
      <x:c r="B24" s="315" t="str">
        <x:v>198712310221555</x:v>
      </x:c>
      <x:c r="C24" s="315" t="str">
        <x:v>130327040</x:v>
      </x:c>
      <x:c r="D24" s="303" t="str">
        <x:v>City Centre Investment / City Centre LP</x:v>
      </x:c>
      <x:c r="E24" s="303" t="str">
        <x:v>No parcel stated; Franklin County real-estate business</x:v>
      </x:c>
      <x:c r="F24" s="303"/>
      <x:c r="G24" s="303" t="str">
        <x:v>Limited-partnership certificate</x:v>
      </x:c>
      <x:c r="H24" s="303" t="str">
        <x:v>City Centre Management Corp. and limited partners</x:v>
      </x:c>
      <x:c r="I24" s="303" t="str">
        <x:v>City Centre Limited Partnership</x:v>
      </x:c>
      <x:c r="J24" s="303" t="str">
        <x:v>City Centre Investment Corp. is a limited partner.</x:v>
      </x:c>
      <x:c r="K24" s="303" t="str">
        <x:v>Creates/records partnership interest; no deed or identified parcel transfer.</x:v>
      </x:c>
      <x:c r="L24" s="303" t="str">
        <x:v>City Centre Investment agreed $4,950 cash contribution and up to $50,000 deficit contribution.</x:v>
      </x:c>
      <x:c r="M24" s="315"/>
      <x:c r="N24" s="315"/>
      <x:c r="O24" s="303" t="str">
        <x:v>https://franklin.oh.publicsearch.us/doc/130327040?department=RP</x:v>
      </x:c>
      <x:c r="P24" s="303" t="str">
        <x:v>Primary recorder images retrieved; OCR reviewed; material pages visually inspected.</x:v>
      </x:c>
      <x:c r="Q24" s="303" t="str">
        <x:v>Partnership contribution obligations are not a property purchase price or mortgage.</x:v>
      </x:c>
      <x:c r="R24" s="332" t="str">
        <x:f>IF(OR(ISNUMBER(SEARCH("zero public",P24)),ISNUMBER(SEARCH("unavailable",P24))),"Detail only","Image-backed")</x:f>
        <x:v>Image-backed</x:v>
      </x:c>
      <x:c r="S24" s="335" t="n">
        <x:f>IF(ISNUMBER(A24),YEAR(A24),VALUE(LEFT(A24,4)))</x:f>
        <x:v>1987</x:v>
      </x:c>
      <x:c r="T24" s="332" t="str">
        <x:f>IF(OR(ISNUMBER(SEARCH("Cherry",D24)),ISNUMBER(SEARCH("C-Wren",D24))),"Cherry / C-Wren / KG",IF(OR(ISNUMBER(SEARCH("Rocky Fork",D24)),ISNUMBER(SEARCH("N.A. Property",D24))),"Rocky / New Albany",IF(ISNUMBER(SEARCH("Morsham",D24)),"Morsham / Eastern",IF(ISNUMBER(SEARCH("Park Properties",D24)),"Park",IF(OR(ISNUMBER(SEARCH("H.H.D",D24)),ISNUMBER(SEARCH("Family Property Trust",D24))),"HHD / Trust","Other")))))</x:f>
        <x:v>Other</x:v>
      </x:c>
      <x:c r="U24" s="332" t="str">
        <x:f>S24&amp;"|"&amp;T24</x:f>
        <x:v>1987|Other</x:v>
      </x:c>
    </x:row>
    <x:row r="25" ht="58" customHeight="1">
      <x:c r="A25" s="312" t="n">
        <x:v>32148.5</x:v>
      </x:c>
      <x:c r="B25" s="315" t="str">
        <x:v>198801060052123</x:v>
      </x:c>
      <x:c r="C25" s="315" t="str">
        <x:v>130328493</x:v>
      </x:c>
      <x:c r="D25" s="303" t="str">
        <x:v>Morsham Land / Eastern Ohio Holding / New Albany</x:v>
      </x:c>
      <x:c r="E25" s="303" t="str">
        <x:v>545-147940; 545-147941 | 50.086 acres in Blendon Township, Franklin County; subject to listed matters of record.</x:v>
      </x:c>
      <x:c r="F25" s="303" t="str">
        <x:v>50.086 acres</x:v>
      </x:c>
      <x:c r="G25" s="303" t="str">
        <x:v>General Warranty Deed</x:v>
      </x:c>
      <x:c r="H25" s="303" t="str">
        <x:v>Kent H. Brandt; Leland F. Brubaker; Richard C. Pickett; James G. Pierce; spouses Jean C. Brandt, Nancy P. Pickett, and Marie K. Pierce release dower</x:v>
      </x:c>
      <x:c r="I25" s="303" t="str">
        <x:v>Morsham Land Corporation</x:v>
      </x:c>
      <x:c r="J25" s="303" t="str">
        <x:v>No successor wording. The deed is the original acquisition in this reviewed chain and identifies Morsham's tax-mailing contact as c/o Dorothy Snow.</x:v>
      </x:c>
      <x:c r="K25" s="303" t="str">
        <x:v>MATERIAL ACQUISITION. It places the 50.086-acre tract in Morsham and directly links Dorothy Snow to the entity as tax-mailing contact. It does not show her as owner or officer.</x:v>
      </x:c>
      <x:c r="L25" s="303" t="str">
        <x:v>Valuable consideration paid, amount unstated in deed text; recorder conveyance-tax stamp $1,754.50. The tax is not stated purchase price.</x:v>
      </x:c>
      <x:c r="M25" s="315" t="str">
        <x:v>Prior deed Volume 2908, Page 366; OR 11024A15; marginal link to 201604220049452.</x:v>
      </x:c>
      <x:c r="N25" s="315"/>
      <x:c r="O25" s="303" t="str">
        <x:v>https://franklin.oh.publicsearch.us/doc/130328493?department=RP</x:v>
      </x:c>
      <x:c r="P25" s="303" t="str">
        <x:v>Primary recorder images; every page OCRed; deed face, legal description, execution, acknowledgment, preparation line, acreage, parcels, address, tax stamp, and recording date visually verified.</x:v>
      </x:c>
      <x:c r="Q25" s="303" t="str">
        <x:v>Conveyance-tax/fee figures are not treated as sale price. Execution/effective date: 1987-12-22.</x:v>
      </x:c>
      <x:c r="R25" s="332" t="str">
        <x:f>IF(OR(ISNUMBER(SEARCH("zero public",P25)),ISNUMBER(SEARCH("unavailable",P25))),"Detail only","Image-backed")</x:f>
        <x:v>Image-backed</x:v>
      </x:c>
      <x:c r="S25" s="335" t="n">
        <x:f>IF(ISNUMBER(A25),YEAR(A25),VALUE(LEFT(A25,4)))</x:f>
        <x:v>1988</x:v>
      </x:c>
      <x:c r="T25" s="332" t="str">
        <x:f>IF(OR(ISNUMBER(SEARCH("Cherry",D25)),ISNUMBER(SEARCH("C-Wren",D25))),"Cherry / C-Wren / KG",IF(OR(ISNUMBER(SEARCH("Rocky Fork",D25)),ISNUMBER(SEARCH("N.A. Property",D25))),"Rocky / New Albany",IF(ISNUMBER(SEARCH("Morsham",D25)),"Morsham / Eastern",IF(ISNUMBER(SEARCH("Park Properties",D25)),"Park",IF(OR(ISNUMBER(SEARCH("H.H.D",D25)),ISNUMBER(SEARCH("Family Property Trust",D25))),"HHD / Trust","Other")))))</x:f>
        <x:v>Morsham / Eastern</x:v>
      </x:c>
      <x:c r="U25" s="332" t="str">
        <x:f>S25&amp;"|"&amp;T25</x:f>
        <x:v>1988|Morsham / Eastern</x:v>
      </x:c>
    </x:row>
    <x:row r="26" ht="58" customHeight="1">
      <x:c r="A26" s="312" t="n">
        <x:v>32206.5</x:v>
      </x:c>
      <x:c r="B26" s="315" t="str">
        <x:v>198803040070938</x:v>
      </x:c>
      <x:c r="C26" s="315" t="str">
        <x:v>130347471</x:v>
      </x:c>
      <x:c r="D26" s="303" t="str">
        <x:v>Cherry Bottom Properties / Investors</x:v>
      </x:c>
      <x:c r="E26" s="303" t="str">
        <x:v>Not stated on instrument. | No land conveyed; certificate forms/records an Ohio general partnership.</x:v>
      </x:c>
      <x:c r="F26" s="303"/>
      <x:c r="G26" s="303" t="str">
        <x:v>Certificate of Partnership</x:v>
      </x:c>
      <x:c r="H26" s="303" t="str">
        <x:v>Cherry Bottom Properties, Inc.; Cherry Bottom Investors, Inc.</x:v>
      </x:c>
      <x:c r="I26" s="303" t="str">
        <x:v>Cherry Bottom Development Company No. 4</x:v>
      </x:c>
      <x:c r="J26" s="303" t="str">
        <x:v>Each corporation is expressly identified as an Ohio corporation and general partner of Cherry Bottom Development Company No. 4.</x:v>
      </x:c>
      <x:c r="K26" s="303" t="str">
        <x:v>Establishes the original capacity baseline: Investors and Properties were corporate general partners, not the partnership itself.</x:v>
      </x:c>
      <x:c r="L26" s="303" t="str">
        <x:v>No conveyance consideration; organizational filing.</x:v>
      </x:c>
      <x:c r="M26" s="315" t="str">
        <x:v>Certificate itself; later easement 199109170150517 uses the partnership and Investors name.</x:v>
      </x:c>
      <x:c r="N26" s="315"/>
      <x:c r="O26" s="303" t="str">
        <x:v>https://franklin.oh.publicsearch.us/doc/130347471?department=RP</x:v>
      </x:c>
      <x:c r="P26" s="303" t="str">
        <x:v>Primary recorder images; all pages OCRed; both pages visually inspected.</x:v>
      </x:c>
      <x:c r="Q26" s="303" t="str">
        <x:v>Execution/effective date: 1988-03-04 (acknowledgments).</x:v>
      </x:c>
      <x:c r="R26" s="332" t="str">
        <x:f>IF(OR(ISNUMBER(SEARCH("zero public",P26)),ISNUMBER(SEARCH("unavailable",P26))),"Detail only","Image-backed")</x:f>
        <x:v>Image-backed</x:v>
      </x:c>
      <x:c r="S26" s="335" t="n">
        <x:f>IF(ISNUMBER(A26),YEAR(A26),VALUE(LEFT(A26,4)))</x:f>
        <x:v>1988</x:v>
      </x:c>
      <x:c r="T26" s="332" t="str">
        <x:f>IF(OR(ISNUMBER(SEARCH("Cherry",D26)),ISNUMBER(SEARCH("C-Wren",D26))),"Cherry / C-Wren / KG",IF(OR(ISNUMBER(SEARCH("Rocky Fork",D26)),ISNUMBER(SEARCH("N.A. Property",D26))),"Rocky / New Albany",IF(ISNUMBER(SEARCH("Morsham",D26)),"Morsham / Eastern",IF(ISNUMBER(SEARCH("Park Properties",D26)),"Park",IF(OR(ISNUMBER(SEARCH("H.H.D",D26)),ISNUMBER(SEARCH("Family Property Trust",D26))),"HHD / Trust","Other")))))</x:f>
        <x:v>Cherry / C-Wren / KG</x:v>
      </x:c>
      <x:c r="U26" s="332" t="str">
        <x:f>S26&amp;"|"&amp;T26</x:f>
        <x:v>1988|Cherry / C-Wren / KG</x:v>
      </x:c>
    </x:row>
    <x:row r="27" ht="58" customHeight="1">
      <x:c r="A27" s="312" t="n">
        <x:v>32505.5</x:v>
      </x:c>
      <x:c r="B27" s="315" t="str">
        <x:v>198812280189582</x:v>
      </x:c>
      <x:c r="C27" s="315" t="str">
        <x:v>130466198</x:v>
      </x:c>
      <x:c r="D27" s="303" t="str">
        <x:v>Rocky Fork Development / The New Albany Company</x:v>
      </x:c>
      <x:c r="E27" s="303" t="str">
        <x:v>Option agreement with Morse Hamilton, Ltd.; notice recorded at OR 9852 H1</x:v>
      </x:c>
      <x:c r="F27" s="303" t="str">
        <x:v>index remark: 1.320 acres</x:v>
      </x:c>
      <x:c r="G27" s="303" t="str">
        <x:v>assignment of option agreement</x:v>
      </x:c>
      <x:c r="H27" s="303" t="str">
        <x:v>NELC, Inc. (assignor)</x:v>
      </x:c>
      <x:c r="I27" s="303" t="str">
        <x:v>The New Albany Company (assignee)</x:v>
      </x:c>
      <x:c r="J27" s="303" t="str">
        <x:v>general partner signing New Albany's acceptance</x:v>
      </x:c>
      <x:c r="K27" s="303" t="str">
        <x:v>Assigns NELC's rights under a 1987 land option to New Albany; no present fee-title transfer shown.</x:v>
      </x:c>
      <x:c r="L27" s="303" t="str">
        <x:v>Financing context: Option/contract acquisition; recorder code ASMO is misleading and the image is not an assignment of a mortgage.</x:v>
      </x:c>
      <x:c r="M27" s="315" t="str">
        <x:v>OR 9852 H1</x:v>
      </x:c>
      <x:c r="N27" s="315"/>
      <x:c r="O27" s="303" t="str">
        <x:v>https://franklin.oh.publicsearch.us/doc/130466198?department=RP</x:v>
      </x:c>
      <x:c r="P27" s="303" t="str">
        <x:v>image_retrieved_ocr_reviewed</x:v>
      </x:c>
      <x:c r="Q27" s="303" t="str">
        <x:v>Indexed document type ASMO suggests mortgage, but the document caption and operative language concern an option agreement. Execution/effective date: 1988-12.</x:v>
      </x:c>
      <x:c r="R27" s="332" t="str">
        <x:f>IF(OR(ISNUMBER(SEARCH("zero public",P27)),ISNUMBER(SEARCH("unavailable",P27))),"Detail only","Image-backed")</x:f>
        <x:v>Image-backed</x:v>
      </x:c>
      <x:c r="S27" s="335" t="n">
        <x:f>IF(ISNUMBER(A27),YEAR(A27),VALUE(LEFT(A27,4)))</x:f>
        <x:v>1988</x:v>
      </x:c>
      <x:c r="T27" s="332" t="str">
        <x:f>IF(OR(ISNUMBER(SEARCH("Cherry",D27)),ISNUMBER(SEARCH("C-Wren",D27))),"Cherry / C-Wren / KG",IF(OR(ISNUMBER(SEARCH("Rocky Fork",D27)),ISNUMBER(SEARCH("N.A. Property",D27))),"Rocky / New Albany",IF(ISNUMBER(SEARCH("Morsham",D27)),"Morsham / Eastern",IF(ISNUMBER(SEARCH("Park Properties",D27)),"Park",IF(OR(ISNUMBER(SEARCH("H.H.D",D27)),ISNUMBER(SEARCH("Family Property Trust",D27))),"HHD / Trust","Other")))))</x:f>
        <x:v>Rocky / New Albany</x:v>
      </x:c>
      <x:c r="U27" s="332" t="str">
        <x:f>S27&amp;"|"&amp;T27</x:f>
        <x:v>1988|Rocky / New Albany</x:v>
      </x:c>
    </x:row>
    <x:row r="28" ht="58" customHeight="1">
      <x:c r="A28" s="312" t="n">
        <x:v>32787.5</x:v>
      </x:c>
      <x:c r="B28" s="315" t="str">
        <x:v>198910060156867</x:v>
      </x:c>
      <x:c r="C28" s="315" t="str">
        <x:v>130576452</x:v>
      </x:c>
      <x:c r="D28" s="303" t="str">
        <x:v>Rocky Fork Development / The New Albany Company</x:v>
      </x:c>
      <x:c r="E28" s="303" t="str">
        <x:v>Strip across New Albany tract of record OR 12773 A03</x:v>
      </x:c>
      <x:c r="F28" s="303" t="str">
        <x:v>0.208-acre permanent strip; temporary strips 0.641 and 0.206 acre</x:v>
      </x:c>
      <x:c r="G28" s="303" t="str">
        <x:v>perpetual sanitary-sewer easement</x:v>
      </x:c>
      <x:c r="H28" s="303" t="str">
        <x:v>The New Albany Company and Rocky Fork Development Corporation (named grantors)</x:v>
      </x:c>
      <x:c r="I28" s="303" t="str">
        <x:v>Village of New Albany and William H. and Pauline F. Resch</x:v>
      </x:c>
      <x:c r="J28" s="303" t="str">
        <x:v>co-grantor in caption/signature; William R. Westbrook signs separately as Rocky Fork vice president</x:v>
      </x:c>
      <x:c r="K28" s="303" t="str">
        <x:v>Grants permanent and temporary sewer easements. Legal description identifies the burdened tract as property conveyed to New Albany Company.</x:v>
      </x:c>
      <x:c r="L28" s="303" t="str">
        <x:v>$1 and other valuable consideration</x:v>
      </x:c>
      <x:c r="M28" s="315" t="str">
        <x:v>OR 12773 A03</x:v>
      </x:c>
      <x:c r="N28" s="315"/>
      <x:c r="O28" s="303" t="str">
        <x:v>https://franklin.oh.publicsearch.us/doc/130576452?department=RP</x:v>
      </x:c>
      <x:c r="P28" s="303" t="str">
        <x:v>image_visual_verified</x:v>
      </x:c>
      <x:c r="Q28" s="303" t="str">
        <x:v>Rocky Fork's co-grantor signature does not by itself establish separate fee ownership because the legal description identifies New Albany's tract. Nominal stated consideration is not treated as sale price. Execution/effective date: 1989-10. Easement affects rights/use but does not transfer the fee.</x:v>
      </x:c>
      <x:c r="R28" s="332" t="str">
        <x:f>IF(OR(ISNUMBER(SEARCH("zero public",P28)),ISNUMBER(SEARCH("unavailable",P28))),"Detail only","Image-backed")</x:f>
        <x:v>Image-backed</x:v>
      </x:c>
      <x:c r="S28" s="335" t="n">
        <x:f>IF(ISNUMBER(A28),YEAR(A28),VALUE(LEFT(A28,4)))</x:f>
        <x:v>1989</x:v>
      </x:c>
      <x:c r="T28" s="332" t="str">
        <x:f>IF(OR(ISNUMBER(SEARCH("Cherry",D28)),ISNUMBER(SEARCH("C-Wren",D28))),"Cherry / C-Wren / KG",IF(OR(ISNUMBER(SEARCH("Rocky Fork",D28)),ISNUMBER(SEARCH("N.A. Property",D28))),"Rocky / New Albany",IF(ISNUMBER(SEARCH("Morsham",D28)),"Morsham / Eastern",IF(ISNUMBER(SEARCH("Park Properties",D28)),"Park",IF(OR(ISNUMBER(SEARCH("H.H.D",D28)),ISNUMBER(SEARCH("Family Property Trust",D28))),"HHD / Trust","Other")))))</x:f>
        <x:v>Rocky / New Albany</x:v>
      </x:c>
      <x:c r="U28" s="332" t="str">
        <x:f>S28&amp;"|"&amp;T28</x:f>
        <x:v>1989|Rocky / New Albany</x:v>
      </x:c>
    </x:row>
    <x:row r="29" ht="58" customHeight="1">
      <x:c r="A29" s="312" t="n">
        <x:v>32924.5</x:v>
      </x:c>
      <x:c r="B29" s="315" t="str">
        <x:v>199002200063673</x:v>
      </x:c>
      <x:c r="C29" s="315" t="str">
        <x:v>123408777</x:v>
      </x:c>
      <x:c r="D29" s="303" t="str">
        <x:v>Park Properties / C.H. Development Group</x:v>
      </x:c>
      <x:c r="E29" s="303" t="str">
        <x:v>All five original Columbus tracts reproduced in Exhibit A, including the two previously partially released lots</x:v>
      </x:c>
      <x:c r="F29" s="303"/>
      <x:c r="G29" s="303" t="str">
        <x:v>Satisfaction of Mortgage / Release of Mortgage (REMO)</x:v>
      </x:c>
      <x:c r="H29" s="303" t="str">
        <x:v>Dean W. Fried (underlying mortgagor; indexed grantor)</x:v>
      </x:c>
      <x:c r="I29" s="303" t="str">
        <x:v>Park Properties, Inc. (mortgagee/certifying party; indexed grantee)</x:v>
      </x:c>
      <x:c r="J29" s="303" t="str">
        <x:v>True corporate instrument; final satisfaction/discharge of operative F-03 mortgage</x:v>
      </x:c>
      <x:c r="K29" s="303" t="str">
        <x:v>Fully satisfies and discharges the operative F-03 real-property mortgage.</x:v>
      </x:c>
      <x:c r="L29" s="303" t="str">
        <x:v>None stated; Not applicable; mortgage release; F-03 mortgage fully paid and satisfied; full recorder discharge authorized</x:v>
      </x:c>
      <x:c r="M29" s="315" t="str">
        <x:v>198402030051783; 198512170169361; 198703060079777</x:v>
      </x:c>
      <x:c r="N29" s="315" t="str">
        <x:v>Portal marginally links 199309080030750</x:v>
      </x:c>
      <x:c r="O29" s="303" t="str">
        <x:v>https://franklin.oh.publicsearch.us/doc/123408777?department=RP</x:v>
      </x:c>
      <x:c r="P29" s="303" t="str">
        <x:v>Official detail/index plus two public page images; OCR both; both visually inspected</x:v>
      </x:c>
      <x:c r="Q29" s="303" t="str">
        <x:v>The first clause says paid/satisfied 'as to the real property,' followed by authorization to discharge the mortgage. Real-property lien is closed before Park's 1992 dissolution. Separate UCC/fixture termination cannot be proved from this image alone. Release closes only the identified lien and states no payoff amount; it does not establish disposition of other liens.</x:v>
      </x:c>
      <x:c r="R29" s="332" t="str">
        <x:f>IF(OR(ISNUMBER(SEARCH("zero public",P29)),ISNUMBER(SEARCH("unavailable",P29))),"Detail only","Image-backed")</x:f>
        <x:v>Image-backed</x:v>
      </x:c>
      <x:c r="S29" s="335" t="n">
        <x:f>IF(ISNUMBER(A29),YEAR(A29),VALUE(LEFT(A29,4)))</x:f>
        <x:v>1990</x:v>
      </x:c>
      <x:c r="T29" s="332" t="str">
        <x:f>IF(OR(ISNUMBER(SEARCH("Cherry",D29)),ISNUMBER(SEARCH("C-Wren",D29))),"Cherry / C-Wren / KG",IF(OR(ISNUMBER(SEARCH("Rocky Fork",D29)),ISNUMBER(SEARCH("N.A. Property",D29))),"Rocky / New Albany",IF(ISNUMBER(SEARCH("Morsham",D29)),"Morsham / Eastern",IF(ISNUMBER(SEARCH("Park Properties",D29)),"Park",IF(OR(ISNUMBER(SEARCH("H.H.D",D29)),ISNUMBER(SEARCH("Family Property Trust",D29))),"HHD / Trust","Other")))))</x:f>
        <x:v>Park</x:v>
      </x:c>
      <x:c r="U29" s="332" t="str">
        <x:f>S29&amp;"|"&amp;T29</x:f>
        <x:v>1990|Park</x:v>
      </x:c>
    </x:row>
    <x:row r="30" ht="58" customHeight="1">
      <x:c r="A30" s="312" t="n">
        <x:v>33183.5</x:v>
      </x:c>
      <x:c r="B30" s="315" t="str">
        <x:v>199011060171069</x:v>
      </x:c>
      <x:c r="C30" s="315" t="str">
        <x:v>123515856</x:v>
      </x:c>
      <x:c r="D30" s="303" t="str">
        <x:v>Cherry Bottom Properties / Investors</x:v>
      </x:c>
      <x:c r="E30" s="303" t="str">
        <x:v>025-8474 | 10.554 acres gross; 1.133 acres in rights-of-way; 9.421 net usable acres.</x:v>
      </x:c>
      <x:c r="F30" s="303" t="str">
        <x:v>10.554 acres; 1.133 acres; 9.421 net usable acres</x:v>
      </x:c>
      <x:c r="G30" s="303" t="str">
        <x:v>General Warranty Deed</x:v>
      </x:c>
      <x:c r="H30" s="303" t="str">
        <x:v>Cherry Bottom Development Company No. 4, an Ohio general partnership</x:v>
      </x:c>
      <x:c r="I30" s="303" t="str">
        <x:v>Cherry Bottom Properties, Inc., an Ohio corporation</x:v>
      </x:c>
      <x:c r="J30" s="303" t="str">
        <x:v>Properties signs as a partner of the grantor; no Investors name and no successor-by-merger recital.</x:v>
      </x:c>
      <x:c r="K30" s="303" t="str">
        <x:v>Direct post-merger evidence that surviving Properties received title from Development Company No. 4.</x:v>
      </x:c>
      <x:c r="L30" s="303" t="str">
        <x:v>Valuable consideration paid; amount not stated.</x:v>
      </x:c>
      <x:c r="M30" s="315" t="str">
        <x:v>Prior OR 15230 D18, OR 11254 A01, OR 11254 A07; legal also cites Deed Book 2949, page 579. Immediately followed by 199011060171070.</x:v>
      </x:c>
      <x:c r="N30" s="315" t="str">
        <x:v>Immediately followed by 199011060171070</x:v>
      </x:c>
      <x:c r="O30" s="303" t="str">
        <x:v>https://franklin.oh.publicsearch.us/doc/123515856?department=RP</x:v>
      </x:c>
      <x:c r="P30" s="303" t="str">
        <x:v>Primary recorder images; all pages OCRed; both pages visually inspected.</x:v>
      </x:c>
      <x:c r="Q30" s="303" t="str">
        <x:v>An officer signature proves execution in the stated capacity, not beneficial ownership.</x:v>
      </x:c>
      <x:c r="R30" s="332" t="str">
        <x:f>IF(OR(ISNUMBER(SEARCH("zero public",P30)),ISNUMBER(SEARCH("unavailable",P30))),"Detail only","Image-backed")</x:f>
        <x:v>Image-backed</x:v>
      </x:c>
      <x:c r="S30" s="335" t="n">
        <x:f>IF(ISNUMBER(A30),YEAR(A30),VALUE(LEFT(A30,4)))</x:f>
        <x:v>1990</x:v>
      </x:c>
      <x:c r="T30" s="332" t="str">
        <x:f>IF(OR(ISNUMBER(SEARCH("Cherry",D30)),ISNUMBER(SEARCH("C-Wren",D30))),"Cherry / C-Wren / KG",IF(OR(ISNUMBER(SEARCH("Rocky Fork",D30)),ISNUMBER(SEARCH("N.A. Property",D30))),"Rocky / New Albany",IF(ISNUMBER(SEARCH("Morsham",D30)),"Morsham / Eastern",IF(ISNUMBER(SEARCH("Park Properties",D30)),"Park",IF(OR(ISNUMBER(SEARCH("H.H.D",D30)),ISNUMBER(SEARCH("Family Property Trust",D30))),"HHD / Trust","Other")))))</x:f>
        <x:v>Cherry / C-Wren / KG</x:v>
      </x:c>
      <x:c r="U30" s="332" t="str">
        <x:f>S30&amp;"|"&amp;T30</x:f>
        <x:v>1990|Cherry / C-Wren / KG</x:v>
      </x:c>
    </x:row>
    <x:row r="31" ht="58" customHeight="1">
      <x:c r="A31" s="312" t="n">
        <x:v>33183.5</x:v>
      </x:c>
      <x:c r="B31" s="315" t="str">
        <x:v>199011060171070</x:v>
      </x:c>
      <x:c r="C31" s="315" t="str">
        <x:v>123515859</x:v>
      </x:c>
      <x:c r="D31" s="303" t="str">
        <x:v>Cherry Bottom Properties / Investors</x:v>
      </x:c>
      <x:c r="E31" s="303" t="str">
        <x:v>025-8474 | Exhibit A conveys 10.554 acres gross / 9.421 net. The 16.714-acre figure in the recorder index belongs to restriction-context Exhibit B-1, not the conveyed tract.</x:v>
      </x:c>
      <x:c r="F31" s="303" t="str">
        <x:v>10.554 acres; 16.714 acres</x:v>
      </x:c>
      <x:c r="G31" s="303" t="str">
        <x:v>Limited Warranty Deed</x:v>
      </x:c>
      <x:c r="H31" s="303" t="str">
        <x:v>Cherry Bottom Properties, Inc., an Ohio corporation</x:v>
      </x:c>
      <x:c r="I31" s="303" t="str">
        <x:v>Block Investments, Inc., an Ohio corporation</x:v>
      </x:c>
      <x:c r="J31" s="303" t="str">
        <x:v>Properties is fee grantor; no successor-by-merger recital.</x:v>
      </x:c>
      <x:c r="K31" s="303" t="str">
        <x:v>Same-day acquire/dispose chain shows Properties briefly held and conveyed the 10.554-acre tract after the merger.</x:v>
      </x:c>
      <x:c r="L31" s="303" t="str">
        <x:v>Valuable consideration paid; amount not stated. Recorder conveyance-tax stamp is $1,003.30 and is not treated as the deed's stated consideration.</x:v>
      </x:c>
      <x:c r="M31" s="315" t="str">
        <x:v>Incoming deed 199011060171069 was recorded immediately before this deed; later marginal declaration 199511200215267.</x:v>
      </x:c>
      <x:c r="N31" s="315" t="str">
        <x:v>later marginal declaration 199511200215267</x:v>
      </x:c>
      <x:c r="O31" s="303" t="str">
        <x:v>https://franklin.oh.publicsearch.us/doc/123515859?department=RP</x:v>
      </x:c>
      <x:c r="P31" s="303" t="str">
        <x:v>Primary recorder images; all pages OCRed; party/operative page and signature pages visually inspected.</x:v>
      </x:c>
      <x:c r="Q31" s="303" t="str">
        <x:v>Conveyance-tax/fee figures are not treated as sale price.</x:v>
      </x:c>
      <x:c r="R31" s="332" t="str">
        <x:f>IF(OR(ISNUMBER(SEARCH("zero public",P31)),ISNUMBER(SEARCH("unavailable",P31))),"Detail only","Image-backed")</x:f>
        <x:v>Image-backed</x:v>
      </x:c>
      <x:c r="S31" s="335" t="n">
        <x:f>IF(ISNUMBER(A31),YEAR(A31),VALUE(LEFT(A31,4)))</x:f>
        <x:v>1990</x:v>
      </x:c>
      <x:c r="T31" s="332" t="str">
        <x:f>IF(OR(ISNUMBER(SEARCH("Cherry",D31)),ISNUMBER(SEARCH("C-Wren",D31))),"Cherry / C-Wren / KG",IF(OR(ISNUMBER(SEARCH("Rocky Fork",D31)),ISNUMBER(SEARCH("N.A. Property",D31))),"Rocky / New Albany",IF(ISNUMBER(SEARCH("Morsham",D31)),"Morsham / Eastern",IF(ISNUMBER(SEARCH("Park Properties",D31)),"Park",IF(OR(ISNUMBER(SEARCH("H.H.D",D31)),ISNUMBER(SEARCH("Family Property Trust",D31))),"HHD / Trust","Other")))))</x:f>
        <x:v>Cherry / C-Wren / KG</x:v>
      </x:c>
      <x:c r="U31" s="332" t="str">
        <x:f>S31&amp;"|"&amp;T31</x:f>
        <x:v>1990|Cherry / C-Wren / KG</x:v>
      </x:c>
    </x:row>
    <x:row r="32" ht="58" customHeight="1">
      <x:c r="A32" s="312" t="n">
        <x:v>33323.5</x:v>
      </x:c>
      <x:c r="B32" s="315" t="str">
        <x:v>199103260071553</x:v>
      </x:c>
      <x:c r="C32" s="315" t="str">
        <x:v>123564751</x:v>
      </x:c>
      <x:c r="D32" s="303" t="str">
        <x:v>Cherry Bottom Properties / Investors</x:v>
      </x:c>
      <x:c r="E32" s="303" t="str">
        <x:v>Exhibit A: 600-168453; Exhibit B: 025-4278; Exhibit C: 025-4294 and 025-4278 | 80% undivided interest in Exhibit A (6.302 acres); 66 2/3% undivided interest in Exhibit B (17.791 gross / 16.714 net acres); 100% interest in Exhibit C (33.664 gross / 32.517 net acres).</x:v>
      </x:c>
      <x:c r="F32" s="303" t="str">
        <x:v>6.302 acres; 16.714 net acres; 32.517 net acres</x:v>
      </x:c>
      <x:c r="G32" s="303" t="str">
        <x:v>General Warranty Deed</x:v>
      </x:c>
      <x:c r="H32" s="303" t="str">
        <x:v>Cherry Bottom Development Company No. 4, an Ohio general partnership</x:v>
      </x:c>
      <x:c r="I32" s="303" t="str">
        <x:v>Cherry Bottom Properties, Inc., an Ohio corporation</x:v>
      </x:c>
      <x:c r="J32" s="303" t="str">
        <x:v>Properties signs as a partner of the grantor; no Investors name and no successor-by-merger recital.</x:v>
      </x:c>
      <x:c r="K32" s="303" t="str">
        <x:v>Direct post-merger acquisition evidence placing multiple Cherry Bottom tracts/interests in Properties.</x:v>
      </x:c>
      <x:c r="L32" s="303" t="str">
        <x:v>Valuable consideration paid; amount not stated.</x:v>
      </x:c>
      <x:c r="M32" s="315" t="str">
        <x:v>A: OR 11254 A01 and A07. B: OR 11253 J11, 11254 A01, 11254 A07. C: same plus OR 13533 G09.</x:v>
      </x:c>
      <x:c r="N32" s="315"/>
      <x:c r="O32" s="303" t="str">
        <x:v>https://franklin.oh.publicsearch.us/doc/123564751?department=RP</x:v>
      </x:c>
      <x:c r="P32" s="303" t="str">
        <x:v>Primary recorder images; all pages OCRed; all pages visually inspected.</x:v>
      </x:c>
      <x:c r="Q32" s="303" t="str">
        <x:v>Execution/effective date: 1991-03-19. An officer signature proves execution in the stated capacity, not beneficial ownership.</x:v>
      </x:c>
      <x:c r="R32" s="332" t="str">
        <x:f>IF(OR(ISNUMBER(SEARCH("zero public",P32)),ISNUMBER(SEARCH("unavailable",P32))),"Detail only","Image-backed")</x:f>
        <x:v>Image-backed</x:v>
      </x:c>
      <x:c r="S32" s="335" t="n">
        <x:f>IF(ISNUMBER(A32),YEAR(A32),VALUE(LEFT(A32,4)))</x:f>
        <x:v>1991</x:v>
      </x:c>
      <x:c r="T32" s="332" t="str">
        <x:f>IF(OR(ISNUMBER(SEARCH("Cherry",D32)),ISNUMBER(SEARCH("C-Wren",D32))),"Cherry / C-Wren / KG",IF(OR(ISNUMBER(SEARCH("Rocky Fork",D32)),ISNUMBER(SEARCH("N.A. Property",D32))),"Rocky / New Albany",IF(ISNUMBER(SEARCH("Morsham",D32)),"Morsham / Eastern",IF(ISNUMBER(SEARCH("Park Properties",D32)),"Park",IF(OR(ISNUMBER(SEARCH("H.H.D",D32)),ISNUMBER(SEARCH("Family Property Trust",D32))),"HHD / Trust","Other")))))</x:f>
        <x:v>Cherry / C-Wren / KG</x:v>
      </x:c>
      <x:c r="U32" s="332" t="str">
        <x:f>S32&amp;"|"&amp;T32</x:f>
        <x:v>1991|Cherry / C-Wren / KG</x:v>
      </x:c>
    </x:row>
    <x:row r="33" ht="58" customHeight="1">
      <x:c r="A33" s="312" t="n">
        <x:v>33445.5</x:v>
      </x:c>
      <x:c r="B33" s="315" t="str">
        <x:v>199107260127070</x:v>
      </x:c>
      <x:c r="C33" s="315" t="str">
        <x:v>123620469</x:v>
      </x:c>
      <x:c r="D33" s="303" t="str">
        <x:v>Rocky Fork Development / The New Albany Company</x:v>
      </x:c>
      <x:c r="E33" s="303" t="str">
        <x:v>Sewer easement shown in exhibits</x:v>
      </x:c>
      <x:c r="F33" s="303" t="str">
        <x:v>0.174 acre</x:v>
      </x:c>
      <x:c r="G33" s="303" t="str">
        <x:v>deed of easement</x:v>
      </x:c>
      <x:c r="H33" s="303" t="str">
        <x:v>The New Albany Company</x:v>
      </x:c>
      <x:c r="I33" s="303" t="str">
        <x:v>City of Columbus</x:v>
      </x:c>
      <x:c r="J33" s="303" t="str">
        <x:v>general partner executing for New Albany</x:v>
      </x:c>
      <x:c r="K33" s="303" t="str">
        <x:v>Grants a perpetual sewer easement over New Albany property; Rocky Fork is representative, not a separate fee grantor.</x:v>
      </x:c>
      <x:c r="L33" s="303" t="str">
        <x:v>$1 and other good and valuable consideration; stamp: transfer not necessary / conveyance tax exempt</x:v>
      </x:c>
      <x:c r="M33" s="315"/>
      <x:c r="N33" s="315"/>
      <x:c r="O33" s="303" t="str">
        <x:v>https://franklin.oh.publicsearch.us/doc/123620469?department=RP</x:v>
      </x:c>
      <x:c r="P33" s="303" t="str">
        <x:v>image_retrieved_ocr_reviewed</x:v>
      </x:c>
      <x:c r="Q33" s="303" t="str">
        <x:v>Recorder exact-party index makes Rocky Fork appear as direct grantor; image text says New Albany is grantor 'by' Rocky Fork as general partner. Conveyance-tax/fee figures are not treated as sale price. Nominal stated consideration is not treated as sale price. Easement affects rights/use but does not transfer the fee.</x:v>
      </x:c>
      <x:c r="R33" s="332" t="str">
        <x:f>IF(OR(ISNUMBER(SEARCH("zero public",P33)),ISNUMBER(SEARCH("unavailable",P33))),"Detail only","Image-backed")</x:f>
        <x:v>Image-backed</x:v>
      </x:c>
      <x:c r="S33" s="335" t="n">
        <x:f>IF(ISNUMBER(A33),YEAR(A33),VALUE(LEFT(A33,4)))</x:f>
        <x:v>1991</x:v>
      </x:c>
      <x:c r="T33" s="332" t="str">
        <x:f>IF(OR(ISNUMBER(SEARCH("Cherry",D33)),ISNUMBER(SEARCH("C-Wren",D33))),"Cherry / C-Wren / KG",IF(OR(ISNUMBER(SEARCH("Rocky Fork",D33)),ISNUMBER(SEARCH("N.A. Property",D33))),"Rocky / New Albany",IF(ISNUMBER(SEARCH("Morsham",D33)),"Morsham / Eastern",IF(ISNUMBER(SEARCH("Park Properties",D33)),"Park",IF(OR(ISNUMBER(SEARCH("H.H.D",D33)),ISNUMBER(SEARCH("Family Property Trust",D33))),"HHD / Trust","Other")))))</x:f>
        <x:v>Rocky / New Albany</x:v>
      </x:c>
      <x:c r="U33" s="332" t="str">
        <x:f>S33&amp;"|"&amp;T33</x:f>
        <x:v>1991|Rocky / New Albany</x:v>
      </x:c>
    </x:row>
    <x:row r="34" ht="58" customHeight="1">
      <x:c r="A34" s="312" t="n">
        <x:v>33449.5</x:v>
      </x:c>
      <x:c r="B34" s="315" t="str">
        <x:v>199907290192823</x:v>
      </x:c>
      <x:c r="C34" s="315" t="str">
        <x:v>125795875</x:v>
      </x:c>
      <x:c r="D34" s="303" t="str">
        <x:v>Wexner / Epstein power of attorney</x:v>
      </x:c>
      <x:c r="E34" s="303" t="str">
        <x:v>No parcel; applies broadly to Wexner real/personal property and business instruments</x:v>
      </x:c>
      <x:c r="F34" s="303"/>
      <x:c r="G34" s="303" t="str">
        <x:v>Durable power of attorney (recorded 1999-07-29)</x:v>
      </x:c>
      <x:c r="H34" s="303" t="str">
        <x:v>Leslie H. Wexner</x:v>
      </x:c>
      <x:c r="I34" s="303" t="str">
        <x:v>Jeffrey E. Epstein, attorney-in-fact</x:v>
      </x:c>
      <x:c r="J34" s="303" t="str">
        <x:v>Broad agency authority over conveyance, purchase, leasing, mortgages, borrowing, and entity instruments.</x:v>
      </x:c>
      <x:c r="K34" s="303" t="str">
        <x:v>Creates agency authority only; it does not itself convey a parcel, create a lien, or prove the authority was exercised.</x:v>
      </x:c>
      <x:c r="L34" s="303" t="str">
        <x:v>No transaction consideration or debt.</x:v>
      </x:c>
      <x:c r="M34" s="315"/>
      <x:c r="N34" s="315" t="str">
        <x:v>Revoked by 200712270220043</x:v>
      </x:c>
      <x:c r="O34" s="303" t="str">
        <x:v>https://franklin.oh.publicsearch.us/doc/125795875?department=RP</x:v>
      </x:c>
      <x:c r="P34" s="303" t="str">
        <x:v>Primary recorder images retrieved; OCR reviewed; material pages visually inspected.</x:v>
      </x:c>
      <x:c r="Q34" s="303" t="str">
        <x:v>Execution date is used for the chronology; the instrument was recorded on 1999-07-29.</x:v>
      </x:c>
      <x:c r="R34" s="332" t="str">
        <x:f>IF(OR(ISNUMBER(SEARCH("zero public",P34)),ISNUMBER(SEARCH("unavailable",P34))),"Detail only","Image-backed")</x:f>
        <x:v>Image-backed</x:v>
      </x:c>
      <x:c r="S34" s="335" t="n">
        <x:f>IF(ISNUMBER(A34),YEAR(A34),VALUE(LEFT(A34,4)))</x:f>
        <x:v>1991</x:v>
      </x:c>
      <x:c r="T34" s="332" t="str">
        <x:f>IF(OR(ISNUMBER(SEARCH("Cherry",D34)),ISNUMBER(SEARCH("C-Wren",D34))),"Cherry / C-Wren / KG",IF(OR(ISNUMBER(SEARCH("Rocky Fork",D34)),ISNUMBER(SEARCH("N.A. Property",D34))),"Rocky / New Albany",IF(ISNUMBER(SEARCH("Morsham",D34)),"Morsham / Eastern",IF(ISNUMBER(SEARCH("Park Properties",D34)),"Park",IF(OR(ISNUMBER(SEARCH("H.H.D",D34)),ISNUMBER(SEARCH("Family Property Trust",D34))),"HHD / Trust","Other")))))</x:f>
        <x:v>Other</x:v>
      </x:c>
      <x:c r="U34" s="332" t="str">
        <x:f>S34&amp;"|"&amp;T34</x:f>
        <x:v>1991|Other</x:v>
      </x:c>
    </x:row>
    <x:row r="35" ht="58" customHeight="1">
      <x:c r="A35" s="312" t="n">
        <x:v>33471.5</x:v>
      </x:c>
      <x:c r="B35" s="315" t="str">
        <x:v>199108210139164</x:v>
      </x:c>
      <x:c r="C35" s="315" t="str">
        <x:v>123632762</x:v>
      </x:c>
      <x:c r="D35" s="303" t="str">
        <x:v>Rocky Fork Development / The New Albany Company</x:v>
      </x:c>
      <x:c r="E35" s="303" t="str">
        <x:v>2-acre release tract</x:v>
      </x:c>
      <x:c r="F35" s="303" t="str">
        <x:v>2.000 acres</x:v>
      </x:c>
      <x:c r="G35" s="303" t="str">
        <x:v>partial release of mortgage</x:v>
      </x:c>
      <x:c r="H35" s="303" t="str">
        <x:v>The New Albany Company (mortgagee/releasor)</x:v>
      </x:c>
      <x:c r="I35" s="303" t="str">
        <x:v>William K. and Pamela M. Gerber (mortgagors whose land is released)</x:v>
      </x:c>
      <x:c r="J35" s="303" t="str">
        <x:v>general partner executing for New Albany</x:v>
      </x:c>
      <x:c r="K35" s="303" t="str">
        <x:v>Partially releases 2 acres from a mortgage held by New Albany; no Rocky Fork fee transfer or Rocky Fork debt.</x:v>
      </x:c>
      <x:c r="L35" s="303" t="str">
        <x:v>Financing context: New Albany mortgage asset; Rocky Fork appears only in partnership execution.</x:v>
      </x:c>
      <x:c r="M35" s="315" t="str">
        <x:v>Mortgage OR 16110 I11; recorder marginal ref instrument 199011150174196</x:v>
      </x:c>
      <x:c r="N35" s="315"/>
      <x:c r="O35" s="303" t="str">
        <x:v>https://franklin.oh.publicsearch.us/doc/123632762?department=RP</x:v>
      </x:c>
      <x:c r="P35" s="303" t="str">
        <x:v>image_retrieved_ocr_reviewed</x:v>
      </x:c>
      <x:c r="Q35" s="303"/>
      <x:c r="R35" s="332" t="str">
        <x:f>IF(OR(ISNUMBER(SEARCH("zero public",P35)),ISNUMBER(SEARCH("unavailable",P35))),"Detail only","Image-backed")</x:f>
        <x:v>Image-backed</x:v>
      </x:c>
      <x:c r="S35" s="335" t="n">
        <x:f>IF(ISNUMBER(A35),YEAR(A35),VALUE(LEFT(A35,4)))</x:f>
        <x:v>1991</x:v>
      </x:c>
      <x:c r="T35" s="332" t="str">
        <x:f>IF(OR(ISNUMBER(SEARCH("Cherry",D35)),ISNUMBER(SEARCH("C-Wren",D35))),"Cherry / C-Wren / KG",IF(OR(ISNUMBER(SEARCH("Rocky Fork",D35)),ISNUMBER(SEARCH("N.A. Property",D35))),"Rocky / New Albany",IF(ISNUMBER(SEARCH("Morsham",D35)),"Morsham / Eastern",IF(ISNUMBER(SEARCH("Park Properties",D35)),"Park",IF(OR(ISNUMBER(SEARCH("H.H.D",D35)),ISNUMBER(SEARCH("Family Property Trust",D35))),"HHD / Trust","Other")))))</x:f>
        <x:v>Rocky / New Albany</x:v>
      </x:c>
      <x:c r="U35" s="332" t="str">
        <x:f>S35&amp;"|"&amp;T35</x:f>
        <x:v>1991|Rocky / New Albany</x:v>
      </x:c>
    </x:row>
    <x:row r="36" ht="58" customHeight="1">
      <x:c r="A36" s="312" t="n">
        <x:v>33498.5</x:v>
      </x:c>
      <x:c r="B36" s="315" t="str">
        <x:v>199109170150517</x:v>
      </x:c>
      <x:c r="C36" s="315" t="str">
        <x:v>123643612</x:v>
      </x:c>
      <x:c r="D36" s="303" t="str">
        <x:v>Cherry Bottom Properties / Investors</x:v>
      </x:c>
      <x:c r="E36" s="303" t="str">
        <x:v>Not stated on instrument. | Perpetual nonexclusive storm-sewer easement; 15-foot strip, 0.065 acre, across part of a 17.791-acre tract conveyed to Development Company No. 4.</x:v>
      </x:c>
      <x:c r="F36" s="303" t="str">
        <x:v>0.065 acre; 17.791 acres</x:v>
      </x:c>
      <x:c r="G36" s="303" t="str">
        <x:v>Deed of Easement</x:v>
      </x:c>
      <x:c r="H36" s="303" t="str">
        <x:v>Cherry Bottom Development Company No. 4, acting by Cherry Bottom Investors, Inc.</x:v>
      </x:c>
      <x:c r="I36" s="303" t="str">
        <x:v>City of Gahanna, Ohio</x:v>
      </x:c>
      <x:c r="J36" s="303" t="str">
        <x:v>The opening/witness clauses anomalously call Cherry Bottom Investors, Inc. an Ohio general partnership, while the signature block has Development Company No. 4 acting by Investors. There is no successor-by-merger wording and no reference to Properties.</x:v>
      </x:c>
      <x:c r="K36" s="303" t="str">
        <x:v>Not title evidence for Investors: Development Company No. 4 is the land grantor and Investors appears only as the signer/general-partner name. The post-merger wording is stale/internally inconsistent, not proof that Investors revived or survived separately.</x:v>
      </x:c>
      <x:c r="L36" s="303" t="str">
        <x:v>$1 and other valuable consideration.</x:v>
      </x:c>
      <x:c r="M36" s="315" t="str">
        <x:v>Prior OR 11254 A07; compare partnership certificate 198803040070938.</x:v>
      </x:c>
      <x:c r="N36" s="315"/>
      <x:c r="O36" s="303" t="str">
        <x:v>https://franklin.oh.publicsearch.us/doc/123643612?department=RP</x:v>
      </x:c>
      <x:c r="P36" s="303" t="str">
        <x:v>Primary recorder images; all pages OCRed; operative, legal, signature, and acknowledgment pages visually inspected; survey map OCRed but not needed for the capacity conclusion.</x:v>
      </x:c>
      <x:c r="Q36" s="303" t="str">
        <x:v>Nominal stated consideration is not treated as sale price. Execution/effective date: 1991-09-16. An officer signature proves execution in the stated capacity, not beneficial ownership. Easement affects rights/use but does not transfer the fee.</x:v>
      </x:c>
      <x:c r="R36" s="332" t="str">
        <x:f>IF(OR(ISNUMBER(SEARCH("zero public",P36)),ISNUMBER(SEARCH("unavailable",P36))),"Detail only","Image-backed")</x:f>
        <x:v>Image-backed</x:v>
      </x:c>
      <x:c r="S36" s="335" t="n">
        <x:f>IF(ISNUMBER(A36),YEAR(A36),VALUE(LEFT(A36,4)))</x:f>
        <x:v>1991</x:v>
      </x:c>
      <x:c r="T36" s="332" t="str">
        <x:f>IF(OR(ISNUMBER(SEARCH("Cherry",D36)),ISNUMBER(SEARCH("C-Wren",D36))),"Cherry / C-Wren / KG",IF(OR(ISNUMBER(SEARCH("Rocky Fork",D36)),ISNUMBER(SEARCH("N.A. Property",D36))),"Rocky / New Albany",IF(ISNUMBER(SEARCH("Morsham",D36)),"Morsham / Eastern",IF(ISNUMBER(SEARCH("Park Properties",D36)),"Park",IF(OR(ISNUMBER(SEARCH("H.H.D",D36)),ISNUMBER(SEARCH("Family Property Trust",D36))),"HHD / Trust","Other")))))</x:f>
        <x:v>Cherry / C-Wren / KG</x:v>
      </x:c>
      <x:c r="U36" s="332" t="str">
        <x:f>S36&amp;"|"&amp;T36</x:f>
        <x:v>1991|Cherry / C-Wren / KG</x:v>
      </x:c>
    </x:row>
    <x:row r="37" ht="58" customHeight="1">
      <x:c r="A37" s="312" t="n">
        <x:v>33515.5</x:v>
      </x:c>
      <x:c r="B37" s="315" t="str">
        <x:v>199110040159108</x:v>
      </x:c>
      <x:c r="C37" s="315" t="str">
        <x:v>123652616</x:v>
      </x:c>
      <x:c r="D37" s="303" t="str">
        <x:v>C-Wren Investment / KG Partners</x:v>
      </x:c>
      <x:c r="E37" s="303" t="str">
        <x:v>No parcel; KG Partners organizational certificate</x:v>
      </x:c>
      <x:c r="F37" s="303"/>
      <x:c r="G37" s="303" t="str">
        <x:v>Certificate of partnership</x:v>
      </x:c>
      <x:c r="H37" s="303" t="str">
        <x:v>K-L Partners, Inc.; C-Wren Investment Corp.</x:v>
      </x:c>
      <x:c r="I37" s="303" t="str">
        <x:v>KG Partners</x:v>
      </x:c>
      <x:c r="J37" s="303" t="str">
        <x:v>Corporate general partners; Jeffrey E. Epstein signed/acknowledged as C-Wren vice president.</x:v>
      </x:c>
      <x:c r="K37" s="303" t="str">
        <x:v>Creates/records partnership status; no fee-title or lien effect.</x:v>
      </x:c>
      <x:c r="L37" s="303"/>
      <x:c r="M37" s="315"/>
      <x:c r="N37" s="315"/>
      <x:c r="O37" s="303" t="str">
        <x:v>https://franklin.oh.publicsearch.us/doc/123652616?department=RP</x:v>
      </x:c>
      <x:c r="P37" s="303" t="str">
        <x:v>Primary recorder images retrieved; OCR reviewed; material pages visually inspected.</x:v>
      </x:c>
      <x:c r="Q37" s="303" t="str">
        <x:v>Officer signature and partner status do not establish beneficial ownership of partnership land.</x:v>
      </x:c>
      <x:c r="R37" s="332" t="str">
        <x:f>IF(OR(ISNUMBER(SEARCH("zero public",P37)),ISNUMBER(SEARCH("unavailable",P37))),"Detail only","Image-backed")</x:f>
        <x:v>Image-backed</x:v>
      </x:c>
      <x:c r="S37" s="335" t="n">
        <x:f>IF(ISNUMBER(A37),YEAR(A37),VALUE(LEFT(A37,4)))</x:f>
        <x:v>1991</x:v>
      </x:c>
      <x:c r="T37" s="332" t="str">
        <x:f>IF(OR(ISNUMBER(SEARCH("Cherry",D37)),ISNUMBER(SEARCH("C-Wren",D37))),"Cherry / C-Wren / KG",IF(OR(ISNUMBER(SEARCH("Rocky Fork",D37)),ISNUMBER(SEARCH("N.A. Property",D37))),"Rocky / New Albany",IF(ISNUMBER(SEARCH("Morsham",D37)),"Morsham / Eastern",IF(ISNUMBER(SEARCH("Park Properties",D37)),"Park",IF(OR(ISNUMBER(SEARCH("H.H.D",D37)),ISNUMBER(SEARCH("Family Property Trust",D37))),"HHD / Trust","Other")))))</x:f>
        <x:v>Cherry / C-Wren / KG</x:v>
      </x:c>
      <x:c r="U37" s="332" t="str">
        <x:f>S37&amp;"|"&amp;T37</x:f>
        <x:v>1991|Cherry / C-Wren / KG</x:v>
      </x:c>
    </x:row>
    <x:row r="38" ht="58" customHeight="1">
      <x:c r="A38" s="312" t="n">
        <x:v>33515.5</x:v>
      </x:c>
      <x:c r="B38" s="315" t="str">
        <x:v>199110040159230</x:v>
      </x:c>
      <x:c r="C38" s="315" t="str">
        <x:v>123652626</x:v>
      </x:c>
      <x:c r="D38" s="303" t="str">
        <x:v>C-Wren Investment / KG Partners</x:v>
      </x:c>
      <x:c r="E38" s="303" t="str">
        <x:v>No parcel; contemplated Christopher Wren apartment land and improvements</x:v>
      </x:c>
      <x:c r="F38" s="303"/>
      <x:c r="G38" s="303" t="str">
        <x:v>Limited-partnership certificate</x:v>
      </x:c>
      <x:c r="H38" s="303" t="str">
        <x:v>KG Partners; Nationwide Development Company; Nationwide Life Insurance Company</x:v>
      </x:c>
      <x:c r="I38" s="303" t="str">
        <x:v>Christopher Wren Apartments Limited Partnership</x:v>
      </x:c>
      <x:c r="J38" s="303" t="str">
        <x:v>KG Partners is managing general partner; Nationwide Development is administrative general partner.</x:v>
      </x:c>
      <x:c r="K38" s="303" t="str">
        <x:v>Creates/records partnership roles; does not itself convey land.</x:v>
      </x:c>
      <x:c r="L38" s="303" t="str">
        <x:v>Initial capital: KG $50, Nationwide Development $1, Nationwide Life $49; stated future contributions include $13,260,000 from Nationwide Life and $133,945 from Nationwide Development.</x:v>
      </x:c>
      <x:c r="M38" s="315"/>
      <x:c r="N38" s="315"/>
      <x:c r="O38" s="303" t="str">
        <x:v>https://franklin.oh.publicsearch.us/doc/123652626?department=RP</x:v>
      </x:c>
      <x:c r="P38" s="303" t="str">
        <x:v>Primary recorder images retrieved; OCR reviewed; material pages visually inspected.</x:v>
      </x:c>
      <x:c r="Q38" s="303" t="str">
        <x:v>Contribution commitments are partnership capitalization, not a deed price or mortgage balance.</x:v>
      </x:c>
      <x:c r="R38" s="332" t="str">
        <x:f>IF(OR(ISNUMBER(SEARCH("zero public",P38)),ISNUMBER(SEARCH("unavailable",P38))),"Detail only","Image-backed")</x:f>
        <x:v>Image-backed</x:v>
      </x:c>
      <x:c r="S38" s="335" t="n">
        <x:f>IF(ISNUMBER(A38),YEAR(A38),VALUE(LEFT(A38,4)))</x:f>
        <x:v>1991</x:v>
      </x:c>
      <x:c r="T38" s="332" t="str">
        <x:f>IF(OR(ISNUMBER(SEARCH("Cherry",D38)),ISNUMBER(SEARCH("C-Wren",D38))),"Cherry / C-Wren / KG",IF(OR(ISNUMBER(SEARCH("Rocky Fork",D38)),ISNUMBER(SEARCH("N.A. Property",D38))),"Rocky / New Albany",IF(ISNUMBER(SEARCH("Morsham",D38)),"Morsham / Eastern",IF(ISNUMBER(SEARCH("Park Properties",D38)),"Park",IF(OR(ISNUMBER(SEARCH("H.H.D",D38)),ISNUMBER(SEARCH("Family Property Trust",D38))),"HHD / Trust","Other")))))</x:f>
        <x:v>Cherry / C-Wren / KG</x:v>
      </x:c>
      <x:c r="U38" s="332" t="str">
        <x:f>S38&amp;"|"&amp;T38</x:f>
        <x:v>1991|Cherry / C-Wren / KG</x:v>
      </x:c>
    </x:row>
    <x:row r="39" ht="58" customHeight="1">
      <x:c r="A39" s="312" t="n">
        <x:v>33515.5</x:v>
      </x:c>
      <x:c r="B39" s="315" t="str">
        <x:v>199110040159339</x:v>
      </x:c>
      <x:c r="C39" s="315" t="str">
        <x:v>123652478</x:v>
      </x:c>
      <x:c r="D39" s="303" t="str">
        <x:v>Cherry Bottom Properties / Investors</x:v>
      </x:c>
      <x:c r="E39" s="303" t="str">
        <x:v>025-4294 and 025-4278 | Exhibit A conveys 33.664 acres gross / 32.517 net usable acres. Exhibit B concerns the Christopher Wren multi-family project and development restrictions.</x:v>
      </x:c>
      <x:c r="F39" s="303" t="str">
        <x:v>33.664 acres; 32.517 net usable acres</x:v>
      </x:c>
      <x:c r="G39" s="303" t="str">
        <x:v>Limited Warranty Deed</x:v>
      </x:c>
      <x:c r="H39" s="303" t="str">
        <x:v>Cherry Bottom Properties, Inc., an Ohio corporation</x:v>
      </x:c>
      <x:c r="I39" s="303" t="str">
        <x:v>KG Partners, an Ohio general partnership</x:v>
      </x:c>
      <x:c r="J39" s="303" t="str">
        <x:v>Properties is the fee grantor. The New Albany Company is named only as Properties' affiliate/designee for development-plan approval and signs through Rocky Fork Development Corp. to acknowledge plans/specifications; it is not the fee grantor.</x:v>
      </x:c>
      <x:c r="K39" s="303" t="str">
        <x:v>Epstein personally executed Properties' post-merger disposition of the 33.664-acre tract; New Albany's role was limited to plan approval.</x:v>
      </x:c>
      <x:c r="L39" s="303" t="str">
        <x:v>Valuable consideration paid; amount not stated. Recorder conveyance-tax stamp is $1,224.00 and is not treated as the deed's stated consideration.</x:v>
      </x:c>
      <x:c r="M39" s="315" t="str">
        <x:v>Prior OR 16658 J11, corresponding to the March 1991 acquisition chain.</x:v>
      </x:c>
      <x:c r="N39" s="315"/>
      <x:c r="O39" s="303" t="str">
        <x:v>https://franklin.oh.publicsearch.us/doc/123652478?department=RP</x:v>
      </x:c>
      <x:c r="P39" s="303" t="str">
        <x:v>Primary recorder images; all pages OCRed; party/operative page, execution pages, and decisive legal page visually inspected.</x:v>
      </x:c>
      <x:c r="Q39" s="303" t="str">
        <x:v>Conveyance-tax/fee figures are not treated as sale price. Execution/effective date: 1991-09-30. An officer signature proves execution in the stated capacity, not beneficial ownership.</x:v>
      </x:c>
      <x:c r="R39" s="332" t="str">
        <x:f>IF(OR(ISNUMBER(SEARCH("zero public",P39)),ISNUMBER(SEARCH("unavailable",P39))),"Detail only","Image-backed")</x:f>
        <x:v>Image-backed</x:v>
      </x:c>
      <x:c r="S39" s="335" t="n">
        <x:f>IF(ISNUMBER(A39),YEAR(A39),VALUE(LEFT(A39,4)))</x:f>
        <x:v>1991</x:v>
      </x:c>
      <x:c r="T39" s="332" t="str">
        <x:f>IF(OR(ISNUMBER(SEARCH("Cherry",D39)),ISNUMBER(SEARCH("C-Wren",D39))),"Cherry / C-Wren / KG",IF(OR(ISNUMBER(SEARCH("Rocky Fork",D39)),ISNUMBER(SEARCH("N.A. Property",D39))),"Rocky / New Albany",IF(ISNUMBER(SEARCH("Morsham",D39)),"Morsham / Eastern",IF(ISNUMBER(SEARCH("Park Properties",D39)),"Park",IF(OR(ISNUMBER(SEARCH("H.H.D",D39)),ISNUMBER(SEARCH("Family Property Trust",D39))),"HHD / Trust","Other")))))</x:f>
        <x:v>Cherry / C-Wren / KG</x:v>
      </x:c>
      <x:c r="U39" s="332" t="str">
        <x:f>S39&amp;"|"&amp;T39</x:f>
        <x:v>1991|Cherry / C-Wren / KG</x:v>
      </x:c>
    </x:row>
    <x:row r="40" ht="58" customHeight="1">
      <x:c r="A40" s="312" t="n">
        <x:v>33515.5</x:v>
      </x:c>
      <x:c r="B40" s="315" t="str">
        <x:v>199110040159340</x:v>
      </x:c>
      <x:c r="C40" s="315" t="str">
        <x:v>123652596</x:v>
      </x:c>
      <x:c r="D40" s="303" t="str">
        <x:v>C-Wren Investment / KG Partners</x:v>
      </x:c>
      <x:c r="E40" s="303" t="str">
        <x:v>025-4294; 025-4278 | Morse Road / Christopher Wren tract</x:v>
      </x:c>
      <x:c r="F40" s="303" t="str">
        <x:v>33.664 acres gross; 32.517 acres net usable</x:v>
      </x:c>
      <x:c r="G40" s="303" t="str">
        <x:v>Open-end mortgage, assignment of rents, and security agreement</x:v>
      </x:c>
      <x:c r="H40" s="303" t="str">
        <x:v>KG Partners</x:v>
      </x:c>
      <x:c r="I40" s="303" t="str">
        <x:v>Bank One, Columbus, N.A.</x:v>
      </x:c>
      <x:c r="J40" s="303" t="str">
        <x:v>KG is mortgagor; Bank One is senior mortgagee.</x:v>
      </x:c>
      <x:c r="K40" s="303" t="str">
        <x:v>Creates senior mortgage/rents/security lien on the KG tract.</x:v>
      </x:c>
      <x:c r="L40" s="303" t="str">
        <x:v>Three notes stated at $10,000,000, $500,000, and $1,500,000 (aggregate $12,000,000).</x:v>
      </x:c>
      <x:c r="M40" s="315" t="str">
        <x:v>Cherry Bottom deed 199110040159339 / OR 17785 A12</x:v>
      </x:c>
      <x:c r="N40" s="315" t="str">
        <x:v>Released by 199307120168458</x:v>
      </x:c>
      <x:c r="O40" s="303" t="str">
        <x:v>https://franklin.oh.publicsearch.us/doc/123652596?department=RP</x:v>
      </x:c>
      <x:c r="P40" s="303" t="str">
        <x:v>Primary recorder images retrieved; OCR reviewed; material pages visually inspected.</x:v>
      </x:c>
      <x:c r="Q40" s="303" t="str">
        <x:v>Note aggregate is stated secured debt, not a property purchase price.</x:v>
      </x:c>
      <x:c r="R40" s="332" t="str">
        <x:f>IF(OR(ISNUMBER(SEARCH("zero public",P40)),ISNUMBER(SEARCH("unavailable",P40))),"Detail only","Image-backed")</x:f>
        <x:v>Image-backed</x:v>
      </x:c>
      <x:c r="S40" s="335" t="n">
        <x:f>IF(ISNUMBER(A40),YEAR(A40),VALUE(LEFT(A40,4)))</x:f>
        <x:v>1991</x:v>
      </x:c>
      <x:c r="T40" s="332" t="str">
        <x:f>IF(OR(ISNUMBER(SEARCH("Cherry",D40)),ISNUMBER(SEARCH("C-Wren",D40))),"Cherry / C-Wren / KG",IF(OR(ISNUMBER(SEARCH("Rocky Fork",D40)),ISNUMBER(SEARCH("N.A. Property",D40))),"Rocky / New Albany",IF(ISNUMBER(SEARCH("Morsham",D40)),"Morsham / Eastern",IF(ISNUMBER(SEARCH("Park Properties",D40)),"Park",IF(OR(ISNUMBER(SEARCH("H.H.D",D40)),ISNUMBER(SEARCH("Family Property Trust",D40))),"HHD / Trust","Other")))))</x:f>
        <x:v>Cherry / C-Wren / KG</x:v>
      </x:c>
      <x:c r="U40" s="332" t="str">
        <x:f>S40&amp;"|"&amp;T40</x:f>
        <x:v>1991|Cherry / C-Wren / KG</x:v>
      </x:c>
    </x:row>
    <x:row r="41" ht="58" customHeight="1">
      <x:c r="A41" s="312" t="n">
        <x:v>33515.5</x:v>
      </x:c>
      <x:c r="B41" s="315" t="str">
        <x:v>199110040159341</x:v>
      </x:c>
      <x:c r="C41" s="315" t="str">
        <x:v>123652597</x:v>
      </x:c>
      <x:c r="D41" s="303" t="str">
        <x:v>Cherry Bottom Properties / Investors</x:v>
      </x:c>
      <x:c r="E41" s="303" t="str">
        <x:v>025-4294 and 025-4278 | Mortgage, rents assignment, and security interest encumber 33.664 acres gross / 32.517 net usable acres; limited-recourse language bars deficiency pursuit against KG's partners.</x:v>
      </x:c>
      <x:c r="F41" s="303" t="str">
        <x:v>33.664 acres; 32.517 net usable acres</x:v>
      </x:c>
      <x:c r="G41" s="303" t="str">
        <x:v>Mortgage, Assignment of Rents and Security Agreement</x:v>
      </x:c>
      <x:c r="H41" s="303" t="str">
        <x:v>KG Partners, an Ohio general partnership</x:v>
      </x:c>
      <x:c r="I41" s="303" t="str">
        <x:v>Cherry Bottom Properties, Inc., an Ohio corporation</x:v>
      </x:c>
      <x:c r="J41" s="303" t="str">
        <x:v>Properties is mortgagee/seller-lender; instrument is expressly subordinate to a Bank One, Columbus, N.A. open-end mortgage.</x:v>
      </x:c>
      <x:c r="K41" s="303" t="str">
        <x:v>Properties financed part of KG's acquisition with a $1.08 million subordinate mortgage; this provides a money trail beyond the deed alone.</x:v>
      </x:c>
      <x:c r="L41" s="303" t="str">
        <x:v>$1,080,000 principal seller/lender note; monthly interest; balance due 1994-03-31. Senior Bank One mortgage secures three notes totaling $12,000,000 ($10,000,000 + $500,000 + $1,500,000).</x:v>
      </x:c>
      <x:c r="M41" s="315" t="str">
        <x:v>Same transaction as deed 199110040159339; released by 199307120168459; release identifies mortgage record as OR 17785 C13.</x:v>
      </x:c>
      <x:c r="N41" s="315" t="str">
        <x:v>released by 199307120168459; release identifies mortgage record as OR 17785 C13</x:v>
      </x:c>
      <x:c r="O41" s="303" t="str">
        <x:v>https://franklin.oh.publicsearch.us/doc/123652597?department=RP</x:v>
      </x:c>
      <x:c r="P41" s="303" t="str">
        <x:v>Primary recorder images; all pages OCRed; debt/lien page and execution/acknowledgment page visually inspected.</x:v>
      </x:c>
      <x:c r="Q41" s="303" t="str">
        <x:v>Execution/effective date: 1991-09-30.</x:v>
      </x:c>
      <x:c r="R41" s="332" t="str">
        <x:f>IF(OR(ISNUMBER(SEARCH("zero public",P41)),ISNUMBER(SEARCH("unavailable",P41))),"Detail only","Image-backed")</x:f>
        <x:v>Image-backed</x:v>
      </x:c>
      <x:c r="S41" s="335" t="n">
        <x:f>IF(ISNUMBER(A41),YEAR(A41),VALUE(LEFT(A41,4)))</x:f>
        <x:v>1991</x:v>
      </x:c>
      <x:c r="T41" s="332" t="str">
        <x:f>IF(OR(ISNUMBER(SEARCH("Cherry",D41)),ISNUMBER(SEARCH("C-Wren",D41))),"Cherry / C-Wren / KG",IF(OR(ISNUMBER(SEARCH("Rocky Fork",D41)),ISNUMBER(SEARCH("N.A. Property",D41))),"Rocky / New Albany",IF(ISNUMBER(SEARCH("Morsham",D41)),"Morsham / Eastern",IF(ISNUMBER(SEARCH("Park Properties",D41)),"Park",IF(OR(ISNUMBER(SEARCH("H.H.D",D41)),ISNUMBER(SEARCH("Family Property Trust",D41))),"HHD / Trust","Other")))))</x:f>
        <x:v>Cherry / C-Wren / KG</x:v>
      </x:c>
      <x:c r="U41" s="332" t="str">
        <x:f>S41&amp;"|"&amp;T41</x:f>
        <x:v>1991|Cherry / C-Wren / KG</x:v>
      </x:c>
    </x:row>
    <x:row r="42" ht="58" customHeight="1">
      <x:c r="A42" s="312" t="n">
        <x:v>33515.5</x:v>
      </x:c>
      <x:c r="B42" s="315" t="str">
        <x:v>199110040159342</x:v>
      </x:c>
      <x:c r="C42" s="315" t="str">
        <x:v>123652481</x:v>
      </x:c>
      <x:c r="D42" s="303" t="str">
        <x:v>C-Wren Investment / KG Partners</x:v>
      </x:c>
      <x:c r="E42" s="303" t="str">
        <x:v>KG tract; OR 17785 A12</x:v>
      </x:c>
      <x:c r="F42" s="303" t="str">
        <x:v>32.517 acres net</x:v>
      </x:c>
      <x:c r="G42" s="303" t="str">
        <x:v>Real-estate financing statement</x:v>
      </x:c>
      <x:c r="H42" s="303" t="str">
        <x:v>KG Partners (record owner/debtor)</x:v>
      </x:c>
      <x:c r="I42" s="303" t="str">
        <x:v>Bank One, Columbus, N.A. (secured party per linked index/release)</x:v>
      </x:c>
      <x:c r="J42" s="303" t="str">
        <x:v>Financing statement attached to property.</x:v>
      </x:c>
      <x:c r="K42" s="303" t="str">
        <x:v>Perfects/notices Bank One's property-attached security interest; no fee transfer.</x:v>
      </x:c>
      <x:c r="L42" s="303"/>
      <x:c r="M42" s="315" t="str">
        <x:v>Financing file 78496; OR 17785 A12</x:v>
      </x:c>
      <x:c r="N42" s="315" t="str">
        <x:v>Released by 199307130169303</x:v>
      </x:c>
      <x:c r="O42" s="303" t="str">
        <x:v>https://franklin.oh.publicsearch.us/doc/123652481?department=RP</x:v>
      </x:c>
      <x:c r="P42" s="303" t="str">
        <x:v>Primary recorder images retrieved; OCR reviewed; material pages visually inspected.</x:v>
      </x:c>
      <x:c r="Q42" s="303"/>
      <x:c r="R42" s="332" t="str">
        <x:f>IF(OR(ISNUMBER(SEARCH("zero public",P42)),ISNUMBER(SEARCH("unavailable",P42))),"Detail only","Image-backed")</x:f>
        <x:v>Image-backed</x:v>
      </x:c>
      <x:c r="S42" s="335" t="n">
        <x:f>IF(ISNUMBER(A42),YEAR(A42),VALUE(LEFT(A42,4)))</x:f>
        <x:v>1991</x:v>
      </x:c>
      <x:c r="T42" s="332" t="str">
        <x:f>IF(OR(ISNUMBER(SEARCH("Cherry",D42)),ISNUMBER(SEARCH("C-Wren",D42))),"Cherry / C-Wren / KG",IF(OR(ISNUMBER(SEARCH("Rocky Fork",D42)),ISNUMBER(SEARCH("N.A. Property",D42))),"Rocky / New Albany",IF(ISNUMBER(SEARCH("Morsham",D42)),"Morsham / Eastern",IF(ISNUMBER(SEARCH("Park Properties",D42)),"Park",IF(OR(ISNUMBER(SEARCH("H.H.D",D42)),ISNUMBER(SEARCH("Family Property Trust",D42))),"HHD / Trust","Other")))))</x:f>
        <x:v>Cherry / C-Wren / KG</x:v>
      </x:c>
      <x:c r="U42" s="332" t="str">
        <x:f>S42&amp;"|"&amp;T42</x:f>
        <x:v>1991|Cherry / C-Wren / KG</x:v>
      </x:c>
    </x:row>
    <x:row r="43" ht="58" customHeight="1">
      <x:c r="A43" s="312" t="n">
        <x:v>33556.5</x:v>
      </x:c>
      <x:c r="B43" s="315" t="str">
        <x:v>199111140176781</x:v>
      </x:c>
      <x:c r="C43" s="315" t="str">
        <x:v>123670665</x:v>
      </x:c>
      <x:c r="D43" s="303" t="str">
        <x:v>Rocky Fork Development / The New Albany Company</x:v>
      </x:c>
      <x:c r="E43" s="303" t="str">
        <x:v>Lot 26, New Albany subdivision</x:v>
      </x:c>
      <x:c r="F43" s="303"/>
      <x:c r="G43" s="303" t="str">
        <x:v>subordination of mortgage</x:v>
      </x:c>
      <x:c r="H43" s="303" t="str">
        <x:v>The New Albany Company (mortgagee/subordinating party)</x:v>
      </x:c>
      <x:c r="I43" s="303" t="str">
        <x:v>BancOhio National Bank (priority beneficiary)</x:v>
      </x:c>
      <x:c r="J43" s="303" t="str">
        <x:v>general partner executing for New Albany</x:v>
      </x:c>
      <x:c r="K43" s="303" t="str">
        <x:v>Subordinates New Albany's Wickline Builders mortgage to BancOhio financing on Lot 26; no Rocky Fork debt or fee transfer.</x:v>
      </x:c>
      <x:c r="L43" s="303" t="str">
        <x:v>Financing context: New Albany-held mortgage subordinated to bank lien; Rocky Fork signs in representative capacity.</x:v>
      </x:c>
      <x:c r="M43" s="315" t="str">
        <x:v>New Albany mortgage OR 17643 C13</x:v>
      </x:c>
      <x:c r="N43" s="315"/>
      <x:c r="O43" s="303" t="str">
        <x:v>https://franklin.oh.publicsearch.us/doc/123670665?department=RP</x:v>
      </x:c>
      <x:c r="P43" s="303" t="str">
        <x:v>image_retrieved_ocr_reviewed</x:v>
      </x:c>
      <x:c r="Q43" s="303"/>
      <x:c r="R43" s="332" t="str">
        <x:f>IF(OR(ISNUMBER(SEARCH("zero public",P43)),ISNUMBER(SEARCH("unavailable",P43))),"Detail only","Image-backed")</x:f>
        <x:v>Image-backed</x:v>
      </x:c>
      <x:c r="S43" s="335" t="n">
        <x:f>IF(ISNUMBER(A43),YEAR(A43),VALUE(LEFT(A43,4)))</x:f>
        <x:v>1991</x:v>
      </x:c>
      <x:c r="T43" s="332" t="str">
        <x:f>IF(OR(ISNUMBER(SEARCH("Cherry",D43)),ISNUMBER(SEARCH("C-Wren",D43))),"Cherry / C-Wren / KG",IF(OR(ISNUMBER(SEARCH("Rocky Fork",D43)),ISNUMBER(SEARCH("N.A. Property",D43))),"Rocky / New Albany",IF(ISNUMBER(SEARCH("Morsham",D43)),"Morsham / Eastern",IF(ISNUMBER(SEARCH("Park Properties",D43)),"Park",IF(OR(ISNUMBER(SEARCH("H.H.D",D43)),ISNUMBER(SEARCH("Family Property Trust",D43))),"HHD / Trust","Other")))))</x:f>
        <x:v>Rocky / New Albany</x:v>
      </x:c>
      <x:c r="U43" s="332" t="str">
        <x:f>S43&amp;"|"&amp;T43</x:f>
        <x:v>1991|Rocky / New Albany</x:v>
      </x:c>
    </x:row>
    <x:row r="44" ht="58" customHeight="1">
      <x:c r="A44" s="312" t="n">
        <x:v>33568.5</x:v>
      </x:c>
      <x:c r="B44" s="315" t="str">
        <x:v>199111260182324</x:v>
      </x:c>
      <x:c r="C44" s="315" t="str">
        <x:v>123675911</x:v>
      </x:c>
      <x:c r="D44" s="303" t="str">
        <x:v>Rocky Fork Development / The New Albany Company</x:v>
      </x:c>
      <x:c r="E44" s="303" t="str">
        <x:v>Lot 13, New Albany subdivision</x:v>
      </x:c>
      <x:c r="F44" s="303"/>
      <x:c r="G44" s="303" t="str">
        <x:v>subordination of mortgage</x:v>
      </x:c>
      <x:c r="H44" s="303" t="str">
        <x:v>The New Albany Company (mortgagee/subordinating party)</x:v>
      </x:c>
      <x:c r="I44" s="303" t="str">
        <x:v>State Savings Bank (priority beneficiary)</x:v>
      </x:c>
      <x:c r="J44" s="303" t="str">
        <x:v>general partner executing for New Albany</x:v>
      </x:c>
      <x:c r="K44" s="303" t="str">
        <x:v>Subordinates New Albany's Kirk mortgage to State Savings Bank financing on Lot 13; no Rocky Fork debt or fee transfer.</x:v>
      </x:c>
      <x:c r="L44" s="303" t="str">
        <x:v>Financing context: New Albany-held mortgage subordinated to bank lien; Rocky Fork signs in representative capacity.</x:v>
      </x:c>
      <x:c r="M44" s="315"/>
      <x:c r="N44" s="315"/>
      <x:c r="O44" s="303" t="str">
        <x:v>https://franklin.oh.publicsearch.us/doc/123675911?department=RP</x:v>
      </x:c>
      <x:c r="P44" s="303" t="str">
        <x:v>image_retrieved_ocr_reviewed</x:v>
      </x:c>
      <x:c r="Q44" s="303"/>
      <x:c r="R44" s="332" t="str">
        <x:f>IF(OR(ISNUMBER(SEARCH("zero public",P44)),ISNUMBER(SEARCH("unavailable",P44))),"Detail only","Image-backed")</x:f>
        <x:v>Image-backed</x:v>
      </x:c>
      <x:c r="S44" s="335" t="n">
        <x:f>IF(ISNUMBER(A44),YEAR(A44),VALUE(LEFT(A44,4)))</x:f>
        <x:v>1991</x:v>
      </x:c>
      <x:c r="T44" s="332" t="str">
        <x:f>IF(OR(ISNUMBER(SEARCH("Cherry",D44)),ISNUMBER(SEARCH("C-Wren",D44))),"Cherry / C-Wren / KG",IF(OR(ISNUMBER(SEARCH("Rocky Fork",D44)),ISNUMBER(SEARCH("N.A. Property",D44))),"Rocky / New Albany",IF(ISNUMBER(SEARCH("Morsham",D44)),"Morsham / Eastern",IF(ISNUMBER(SEARCH("Park Properties",D44)),"Park",IF(OR(ISNUMBER(SEARCH("H.H.D",D44)),ISNUMBER(SEARCH("Family Property Trust",D44))),"HHD / Trust","Other")))))</x:f>
        <x:v>Rocky / New Albany</x:v>
      </x:c>
      <x:c r="U44" s="332" t="str">
        <x:f>S44&amp;"|"&amp;T44</x:f>
        <x:v>1991|Rocky / New Albany</x:v>
      </x:c>
    </x:row>
    <x:row r="45" ht="58" customHeight="1">
      <x:c r="A45" s="312" t="n">
        <x:v>33575.5</x:v>
      </x:c>
      <x:c r="B45" s="315" t="str">
        <x:v>199112030185504</x:v>
      </x:c>
      <x:c r="C45" s="315" t="str">
        <x:v>123679192</x:v>
      </x:c>
      <x:c r="D45" s="303" t="str">
        <x:v>Rocky Fork Development / The New Albany Company</x:v>
      </x:c>
      <x:c r="E45" s="303" t="str">
        <x:v>Lot 9, New Albany subdivision</x:v>
      </x:c>
      <x:c r="F45" s="303"/>
      <x:c r="G45" s="303" t="str">
        <x:v>subordination of mortgage</x:v>
      </x:c>
      <x:c r="H45" s="303" t="str">
        <x:v>The New Albany Company (mortgagee/subordinating party)</x:v>
      </x:c>
      <x:c r="I45" s="303" t="str">
        <x:v>State Savings Bank (priority beneficiary)</x:v>
      </x:c>
      <x:c r="J45" s="303" t="str">
        <x:v>general partner executing for New Albany</x:v>
      </x:c>
      <x:c r="K45" s="303" t="str">
        <x:v>Subordinates New Albany's Thornton Builders mortgage to State Savings Bank financing on Lot 9; no Rocky Fork debt or fee transfer.</x:v>
      </x:c>
      <x:c r="L45" s="303" t="str">
        <x:v>Financing context: New Albany-held mortgage subordinated to bank lien; Rocky Fork signs in representative capacity.</x:v>
      </x:c>
      <x:c r="M45" s="315"/>
      <x:c r="N45" s="315"/>
      <x:c r="O45" s="303" t="str">
        <x:v>https://franklin.oh.publicsearch.us/doc/123679192?department=RP</x:v>
      </x:c>
      <x:c r="P45" s="303" t="str">
        <x:v>image_retrieved_ocr_reviewed</x:v>
      </x:c>
      <x:c r="Q45" s="303"/>
      <x:c r="R45" s="332" t="str">
        <x:f>IF(OR(ISNUMBER(SEARCH("zero public",P45)),ISNUMBER(SEARCH("unavailable",P45))),"Detail only","Image-backed")</x:f>
        <x:v>Image-backed</x:v>
      </x:c>
      <x:c r="S45" s="335" t="n">
        <x:f>IF(ISNUMBER(A45),YEAR(A45),VALUE(LEFT(A45,4)))</x:f>
        <x:v>1991</x:v>
      </x:c>
      <x:c r="T45" s="332" t="str">
        <x:f>IF(OR(ISNUMBER(SEARCH("Cherry",D45)),ISNUMBER(SEARCH("C-Wren",D45))),"Cherry / C-Wren / KG",IF(OR(ISNUMBER(SEARCH("Rocky Fork",D45)),ISNUMBER(SEARCH("N.A. Property",D45))),"Rocky / New Albany",IF(ISNUMBER(SEARCH("Morsham",D45)),"Morsham / Eastern",IF(ISNUMBER(SEARCH("Park Properties",D45)),"Park",IF(OR(ISNUMBER(SEARCH("H.H.D",D45)),ISNUMBER(SEARCH("Family Property Trust",D45))),"HHD / Trust","Other")))))</x:f>
        <x:v>Rocky / New Albany</x:v>
      </x:c>
      <x:c r="U45" s="332" t="str">
        <x:f>S45&amp;"|"&amp;T45</x:f>
        <x:v>1991|Rocky / New Albany</x:v>
      </x:c>
    </x:row>
    <x:row r="46" ht="58" customHeight="1">
      <x:c r="A46" s="312" t="n">
        <x:v>33578.5</x:v>
      </x:c>
      <x:c r="B46" s="315" t="str">
        <x:v>199112060187246</x:v>
      </x:c>
      <x:c r="C46" s="315" t="str">
        <x:v>123680736</x:v>
      </x:c>
      <x:c r="D46" s="303" t="str">
        <x:v>Rocky Fork Development / The New Albany Company</x:v>
      </x:c>
      <x:c r="E46" s="303" t="str">
        <x:v>The New Albany Company partner roster</x:v>
      </x:c>
      <x:c r="F46" s="303"/>
      <x:c r="G46" s="303" t="str">
        <x:v>amended partnership certificate</x:v>
      </x:c>
      <x:c r="H46" s="303" t="str">
        <x:v>Rocky Fork Development Corporation and Community Projects, Inc. (partners)</x:v>
      </x:c>
      <x:c r="I46" s="303" t="str">
        <x:v>The New Albany Company</x:v>
      </x:c>
      <x:c r="J46" s="303" t="str">
        <x:v>general partner; Jeffrey E. Epstein signs as Rocky Fork president</x:v>
      </x:c>
      <x:c r="K46" s="303" t="str">
        <x:v>Records amended New Albany partnership composition; no fee-title transfer.</x:v>
      </x:c>
      <x:c r="L46" s="303" t="str">
        <x:v>Financing context: Partnership structure, not financing.</x:v>
      </x:c>
      <x:c r="M46" s="315"/>
      <x:c r="N46" s="315"/>
      <x:c r="O46" s="303" t="str">
        <x:v>https://franklin.oh.publicsearch.us/doc/123680736?department=RP</x:v>
      </x:c>
      <x:c r="P46" s="303" t="str">
        <x:v>image_visual_verified</x:v>
      </x:c>
      <x:c r="Q46" s="303" t="str">
        <x:v>Image directly verifies Epstein's dual corporate roles in this instrument. Execution/effective date: 1991-12-03. Partnership status/control is not itself a fee-title or beneficial-ownership event.</x:v>
      </x:c>
      <x:c r="R46" s="332" t="str">
        <x:f>IF(OR(ISNUMBER(SEARCH("zero public",P46)),ISNUMBER(SEARCH("unavailable",P46))),"Detail only","Image-backed")</x:f>
        <x:v>Image-backed</x:v>
      </x:c>
      <x:c r="S46" s="335" t="n">
        <x:f>IF(ISNUMBER(A46),YEAR(A46),VALUE(LEFT(A46,4)))</x:f>
        <x:v>1991</x:v>
      </x:c>
      <x:c r="T46" s="332" t="str">
        <x:f>IF(OR(ISNUMBER(SEARCH("Cherry",D46)),ISNUMBER(SEARCH("C-Wren",D46))),"Cherry / C-Wren / KG",IF(OR(ISNUMBER(SEARCH("Rocky Fork",D46)),ISNUMBER(SEARCH("N.A. Property",D46))),"Rocky / New Albany",IF(ISNUMBER(SEARCH("Morsham",D46)),"Morsham / Eastern",IF(ISNUMBER(SEARCH("Park Properties",D46)),"Park",IF(OR(ISNUMBER(SEARCH("H.H.D",D46)),ISNUMBER(SEARCH("Family Property Trust",D46))),"HHD / Trust","Other")))))</x:f>
        <x:v>Rocky / New Albany</x:v>
      </x:c>
      <x:c r="U46" s="332" t="str">
        <x:f>S46&amp;"|"&amp;T46</x:f>
        <x:v>1991|Rocky / New Albany</x:v>
      </x:c>
    </x:row>
    <x:row r="47" ht="58" customHeight="1">
      <x:c r="A47" s="312" t="n">
        <x:v>33582.5</x:v>
      </x:c>
      <x:c r="B47" s="315" t="str">
        <x:v>199112100188775</x:v>
      </x:c>
      <x:c r="C47" s="315" t="str">
        <x:v>123682163</x:v>
      </x:c>
      <x:c r="D47" s="303" t="str">
        <x:v>C-Wren Investment / KG Partners</x:v>
      </x:c>
      <x:c r="E47" s="303" t="str">
        <x:v>No parcel; Christopher Wren Apartments Limited Partnership</x:v>
      </x:c>
      <x:c r="F47" s="303"/>
      <x:c r="G47" s="303" t="str">
        <x:v>Second/amended limited-partnership certificate recording</x:v>
      </x:c>
      <x:c r="H47" s="303" t="str">
        <x:v>KG Partners; Nationwide Development Company; Nationwide Life Insurance Company</x:v>
      </x:c>
      <x:c r="I47" s="303" t="str">
        <x:v>Christopher Wren Apartments Limited Partnership</x:v>
      </x:c>
      <x:c r="J47" s="303" t="str">
        <x:v>Restates KG as managing general partner and the Nationwide entities' partner roles.</x:v>
      </x:c>
      <x:c r="K47" s="303" t="str">
        <x:v>Records partnership terms; no fee-title or lien effect.</x:v>
      </x:c>
      <x:c r="L47" s="303" t="str">
        <x:v>Restates partnership capital terms, including $13,260,000 anticipated Nationwide Life contribution.</x:v>
      </x:c>
      <x:c r="M47" s="315"/>
      <x:c r="N47" s="315"/>
      <x:c r="O47" s="303" t="str">
        <x:v>https://franklin.oh.publicsearch.us/doc/123682163?department=RP</x:v>
      </x:c>
      <x:c r="P47" s="303" t="str">
        <x:v>Primary recorder images retrieved; OCR reviewed; material pages visually inspected.</x:v>
      </x:c>
      <x:c r="Q47" s="303" t="str">
        <x:v>The reviewed pages substantially restate the earlier certificate; do not count the capital twice.</x:v>
      </x:c>
      <x:c r="R47" s="332" t="str">
        <x:f>IF(OR(ISNUMBER(SEARCH("zero public",P47)),ISNUMBER(SEARCH("unavailable",P47))),"Detail only","Image-backed")</x:f>
        <x:v>Image-backed</x:v>
      </x:c>
      <x:c r="S47" s="335" t="n">
        <x:f>IF(ISNUMBER(A47),YEAR(A47),VALUE(LEFT(A47,4)))</x:f>
        <x:v>1991</x:v>
      </x:c>
      <x:c r="T47" s="332" t="str">
        <x:f>IF(OR(ISNUMBER(SEARCH("Cherry",D47)),ISNUMBER(SEARCH("C-Wren",D47))),"Cherry / C-Wren / KG",IF(OR(ISNUMBER(SEARCH("Rocky Fork",D47)),ISNUMBER(SEARCH("N.A. Property",D47))),"Rocky / New Albany",IF(ISNUMBER(SEARCH("Morsham",D47)),"Morsham / Eastern",IF(ISNUMBER(SEARCH("Park Properties",D47)),"Park",IF(OR(ISNUMBER(SEARCH("H.H.D",D47)),ISNUMBER(SEARCH("Family Property Trust",D47))),"HHD / Trust","Other")))))</x:f>
        <x:v>Cherry / C-Wren / KG</x:v>
      </x:c>
      <x:c r="U47" s="332" t="str">
        <x:f>S47&amp;"|"&amp;T47</x:f>
        <x:v>1991|Cherry / C-Wren / KG</x:v>
      </x:c>
    </x:row>
    <x:row r="48" ht="58" customHeight="1">
      <x:c r="A48" s="312" t="n">
        <x:v>33613.5</x:v>
      </x:c>
      <x:c r="B48" s="315" t="str">
        <x:v>199201100047697</x:v>
      </x:c>
      <x:c r="C48" s="315" t="str">
        <x:v>123696474</x:v>
      </x:c>
      <x:c r="D48" s="303" t="str">
        <x:v>Rocky Fork Development / The New Albany Company</x:v>
      </x:c>
      <x:c r="E48" s="303" t="str">
        <x:v>Strip across 33.781-acre tract of record OR 14554 B14</x:v>
      </x:c>
      <x:c r="F48" s="303" t="str">
        <x:v>0.650 acre</x:v>
      </x:c>
      <x:c r="G48" s="303" t="str">
        <x:v>deed of easement</x:v>
      </x:c>
      <x:c r="H48" s="303" t="str">
        <x:v>The New Albany Company</x:v>
      </x:c>
      <x:c r="I48" s="303" t="str">
        <x:v>City of Columbus</x:v>
      </x:c>
      <x:c r="J48" s="303" t="str">
        <x:v>general partner executing for New Albany</x:v>
      </x:c>
      <x:c r="K48" s="303" t="str">
        <x:v>Grants a perpetual sewer easement across a New Albany tract; Rocky Fork is representative, not a separate fee grantor.</x:v>
      </x:c>
      <x:c r="L48" s="303" t="str">
        <x:v>$1 and other good and valuable consideration; stamp: transfer not necessary / conveyance tax exempt</x:v>
      </x:c>
      <x:c r="M48" s="315" t="str">
        <x:v>OR 14554 B14</x:v>
      </x:c>
      <x:c r="N48" s="315"/>
      <x:c r="O48" s="303" t="str">
        <x:v>https://franklin.oh.publicsearch.us/doc/123696474?department=RP</x:v>
      </x:c>
      <x:c r="P48" s="303" t="str">
        <x:v>image_retrieved_ocr_reviewed</x:v>
      </x:c>
      <x:c r="Q48" s="303" t="str">
        <x:v>Recorder codes this as DE and exact-party index makes Rocky Fork look like grantor; the image caption is Deed of Easement and names New Albany as grantor by its general partner. Conveyance-tax/fee figures are not treated as sale price. Nominal stated consideration is not treated as sale price. Easement affects rights/use but does not transfer the fee.</x:v>
      </x:c>
      <x:c r="R48" s="332" t="str">
        <x:f>IF(OR(ISNUMBER(SEARCH("zero public",P48)),ISNUMBER(SEARCH("unavailable",P48))),"Detail only","Image-backed")</x:f>
        <x:v>Image-backed</x:v>
      </x:c>
      <x:c r="S48" s="335" t="n">
        <x:f>IF(ISNUMBER(A48),YEAR(A48),VALUE(LEFT(A48,4)))</x:f>
        <x:v>1992</x:v>
      </x:c>
      <x:c r="T48" s="332" t="str">
        <x:f>IF(OR(ISNUMBER(SEARCH("Cherry",D48)),ISNUMBER(SEARCH("C-Wren",D48))),"Cherry / C-Wren / KG",IF(OR(ISNUMBER(SEARCH("Rocky Fork",D48)),ISNUMBER(SEARCH("N.A. Property",D48))),"Rocky / New Albany",IF(ISNUMBER(SEARCH("Morsham",D48)),"Morsham / Eastern",IF(ISNUMBER(SEARCH("Park Properties",D48)),"Park",IF(OR(ISNUMBER(SEARCH("H.H.D",D48)),ISNUMBER(SEARCH("Family Property Trust",D48))),"HHD / Trust","Other")))))</x:f>
        <x:v>Rocky / New Albany</x:v>
      </x:c>
      <x:c r="U48" s="332" t="str">
        <x:f>S48&amp;"|"&amp;T48</x:f>
        <x:v>1992|Rocky / New Albany</x:v>
      </x:c>
    </x:row>
    <x:row r="49" ht="58" customHeight="1">
      <x:c r="A49" s="312" t="n">
        <x:v>33638.5</x:v>
      </x:c>
      <x:c r="B49" s="315" t="str">
        <x:v>199202040059472</x:v>
      </x:c>
      <x:c r="C49" s="315" t="str">
        <x:v>123710689</x:v>
      </x:c>
      <x:c r="D49" s="303" t="str">
        <x:v>Cherry Bottom Properties / Investors</x:v>
      </x:c>
      <x:c r="E49" s="303" t="str">
        <x:v>025-4278 | Undivided 33 1/3% interest in a 1.700-acre tract.</x:v>
      </x:c>
      <x:c r="F49" s="303" t="str">
        <x:v>1.700 acres</x:v>
      </x:c>
      <x:c r="G49" s="303" t="str">
        <x:v>Limited Warranty Deed</x:v>
      </x:c>
      <x:c r="H49" s="303" t="str">
        <x:v>Thomas H. Lurie and Nancy N. Lurie, husband and wife, acting through attorney-in-fact</x:v>
      </x:c>
      <x:c r="I49" s="303" t="str">
        <x:v>Cherry Bottom Properties, Inc., an Ohio corporation</x:v>
      </x:c>
      <x:c r="J49" s="303" t="str">
        <x:v>Ben W. Hale, Jr. signs as attorney-in-fact for both Lurie grantors; Properties is grantee.</x:v>
      </x:c>
      <x:c r="K49" s="303" t="str">
        <x:v>Together with Properties' earlier 66 2/3% interest, this completed its interest in the 1.700-acre component before the outbound deed.</x:v>
      </x:c>
      <x:c r="L49" s="303" t="str">
        <x:v>Valuable consideration paid; amount not stated.</x:v>
      </x:c>
      <x:c r="M49" s="315" t="str">
        <x:v>Prior OR 11253 J11, OR 11254 A01, OR 11254 A07, OR 16658 J11. Immediately followed by 199202040059473.</x:v>
      </x:c>
      <x:c r="N49" s="315" t="str">
        <x:v>Immediately followed by 199202040059473</x:v>
      </x:c>
      <x:c r="O49" s="303" t="str">
        <x:v>https://franklin.oh.publicsearch.us/doc/123710689?department=RP</x:v>
      </x:c>
      <x:c r="P49" s="303" t="str">
        <x:v>Primary recorder images; all pages OCRed; operative/execution page visually inspected.</x:v>
      </x:c>
      <x:c r="Q49" s="303" t="str">
        <x:v>Execution/effective date: 1991-09-12. An officer signature proves execution in the stated capacity, not beneficial ownership.</x:v>
      </x:c>
      <x:c r="R49" s="332" t="str">
        <x:f>IF(OR(ISNUMBER(SEARCH("zero public",P49)),ISNUMBER(SEARCH("unavailable",P49))),"Detail only","Image-backed")</x:f>
        <x:v>Image-backed</x:v>
      </x:c>
      <x:c r="S49" s="335" t="n">
        <x:f>IF(ISNUMBER(A49),YEAR(A49),VALUE(LEFT(A49,4)))</x:f>
        <x:v>1992</x:v>
      </x:c>
      <x:c r="T49" s="332" t="str">
        <x:f>IF(OR(ISNUMBER(SEARCH("Cherry",D49)),ISNUMBER(SEARCH("C-Wren",D49))),"Cherry / C-Wren / KG",IF(OR(ISNUMBER(SEARCH("Rocky Fork",D49)),ISNUMBER(SEARCH("N.A. Property",D49))),"Rocky / New Albany",IF(ISNUMBER(SEARCH("Morsham",D49)),"Morsham / Eastern",IF(ISNUMBER(SEARCH("Park Properties",D49)),"Park",IF(OR(ISNUMBER(SEARCH("H.H.D",D49)),ISNUMBER(SEARCH("Family Property Trust",D49))),"HHD / Trust","Other")))))</x:f>
        <x:v>Cherry / C-Wren / KG</x:v>
      </x:c>
      <x:c r="U49" s="332" t="str">
        <x:f>S49&amp;"|"&amp;T49</x:f>
        <x:v>1992|Cherry / C-Wren / KG</x:v>
      </x:c>
    </x:row>
    <x:row r="50" ht="58" customHeight="1">
      <x:c r="A50" s="312" t="n">
        <x:v>33638.5</x:v>
      </x:c>
      <x:c r="B50" s="315" t="str">
        <x:v>199202040059473</x:v>
      </x:c>
      <x:c r="C50" s="315" t="str">
        <x:v>123710687</x:v>
      </x:c>
      <x:c r="D50" s="303" t="str">
        <x:v>Cherry Bottom Properties / Investors</x:v>
      </x:c>
      <x:c r="E50" s="303" t="str">
        <x:v>025-004290 | Exhibit A conveys 1.700 acres and includes a temporary 10-foot ingress/egress easement terminating when Cherry Way Drive is completed/opened. The index's additional 17.791, 10.554, and 6.302 acreages are restriction-context exhibits, not acreage conveyed.</x:v>
      </x:c>
      <x:c r="F50" s="303" t="str">
        <x:v>1.700 acres</x:v>
      </x:c>
      <x:c r="G50" s="303" t="str">
        <x:v>General Warranty Deed</x:v>
      </x:c>
      <x:c r="H50" s="303" t="str">
        <x:v>Cherry Bottom Properties, Inc., an Ohio corporation</x:v>
      </x:c>
      <x:c r="I50" s="303" t="str">
        <x:v>Gahanna Medical Limited Partnership</x:v>
      </x:c>
      <x:c r="J50" s="303" t="str">
        <x:v>Properties is fee grantor; no Investors or successor-by-merger wording.</x:v>
      </x:c>
      <x:c r="K50" s="303" t="str">
        <x:v>Epstein personally executed Properties' disposition of the assembled 1.700-acre tract.</x:v>
      </x:c>
      <x:c r="L50" s="303" t="str">
        <x:v>Valuable consideration paid; amount not stated. Recorder tax stamp appears $212.50 and is not treated as purchase price.</x:v>
      </x:c>
      <x:c r="M50" s="315" t="str">
        <x:v>Prior references include OR 11253 J11 and OR 16658 J11; paired incoming deed is immediately preceding 199202040059472 / OR 18561 C19; later marginal declaration 199511200215267.</x:v>
      </x:c>
      <x:c r="N50" s="315" t="str">
        <x:v>later marginal declaration 199511200215267</x:v>
      </x:c>
      <x:c r="O50" s="303" t="str">
        <x:v>https://franklin.oh.publicsearch.us/doc/123710687?department=RP</x:v>
      </x:c>
      <x:c r="P50" s="303" t="str">
        <x:v>Primary recorder images; all pages OCRed; party/operative and execution/acknowledgment pages visually inspected.</x:v>
      </x:c>
      <x:c r="Q50" s="303" t="str">
        <x:v>Execution/effective date: 1992-01-23. An officer signature proves execution in the stated capacity, not beneficial ownership.</x:v>
      </x:c>
      <x:c r="R50" s="332" t="str">
        <x:f>IF(OR(ISNUMBER(SEARCH("zero public",P50)),ISNUMBER(SEARCH("unavailable",P50))),"Detail only","Image-backed")</x:f>
        <x:v>Image-backed</x:v>
      </x:c>
      <x:c r="S50" s="335" t="n">
        <x:f>IF(ISNUMBER(A50),YEAR(A50),VALUE(LEFT(A50,4)))</x:f>
        <x:v>1992</x:v>
      </x:c>
      <x:c r="T50" s="332" t="str">
        <x:f>IF(OR(ISNUMBER(SEARCH("Cherry",D50)),ISNUMBER(SEARCH("C-Wren",D50))),"Cherry / C-Wren / KG",IF(OR(ISNUMBER(SEARCH("Rocky Fork",D50)),ISNUMBER(SEARCH("N.A. Property",D50))),"Rocky / New Albany",IF(ISNUMBER(SEARCH("Morsham",D50)),"Morsham / Eastern",IF(ISNUMBER(SEARCH("Park Properties",D50)),"Park",IF(OR(ISNUMBER(SEARCH("H.H.D",D50)),ISNUMBER(SEARCH("Family Property Trust",D50))),"HHD / Trust","Other")))))</x:f>
        <x:v>Cherry / C-Wren / KG</x:v>
      </x:c>
      <x:c r="U50" s="332" t="str">
        <x:f>S50&amp;"|"&amp;T50</x:f>
        <x:v>1992|Cherry / C-Wren / KG</x:v>
      </x:c>
    </x:row>
    <x:row r="51" ht="58" customHeight="1">
      <x:c r="A51" s="312" t="n">
        <x:v>33658.5</x:v>
      </x:c>
      <x:c r="B51" s="315" t="str">
        <x:v>199202240068274</x:v>
      </x:c>
      <x:c r="C51" s="315" t="str">
        <x:v>123721929</x:v>
      </x:c>
      <x:c r="D51" s="303" t="str">
        <x:v>Rocky Fork Development / The New Albany Company</x:v>
      </x:c>
      <x:c r="E51" s="303" t="str">
        <x:v>Strip across tracts of record OR 12808 F10 and OR 12850 I04</x:v>
      </x:c>
      <x:c r="F51" s="303" t="str">
        <x:v>0.015 acre</x:v>
      </x:c>
      <x:c r="G51" s="303" t="str">
        <x:v>deed of easement</x:v>
      </x:c>
      <x:c r="H51" s="303" t="str">
        <x:v>The New Albany Company</x:v>
      </x:c>
      <x:c r="I51" s="303" t="str">
        <x:v>Village of New Albany</x:v>
      </x:c>
      <x:c r="J51" s="303" t="str">
        <x:v>general partner executing for New Albany</x:v>
      </x:c>
      <x:c r="K51" s="303" t="str">
        <x:v>Grants a perpetual sewer easement over New Albany tracts; Rocky Fork is representative, not a separate fee grantor.</x:v>
      </x:c>
      <x:c r="L51" s="303" t="str">
        <x:v>$1 and other good and valuable consideration; stamp: transfer not necessary / conveyance tax exempt</x:v>
      </x:c>
      <x:c r="M51" s="315" t="str">
        <x:v>OR 12808 F10; OR 12850 I04</x:v>
      </x:c>
      <x:c r="N51" s="315"/>
      <x:c r="O51" s="303" t="str">
        <x:v>https://franklin.oh.publicsearch.us/doc/123721929?department=RP</x:v>
      </x:c>
      <x:c r="P51" s="303" t="str">
        <x:v>image_retrieved_ocr_reviewed</x:v>
      </x:c>
      <x:c r="Q51" s="303" t="str">
        <x:v>Recorder exact-party index makes Rocky Fork appear as direct grantor; image text says New Albany is grantor by Rocky Fork as general partner. Conveyance-tax/fee figures are not treated as sale price. Nominal stated consideration is not treated as sale price. Easement affects rights/use but does not transfer the fee.</x:v>
      </x:c>
      <x:c r="R51" s="332" t="str">
        <x:f>IF(OR(ISNUMBER(SEARCH("zero public",P51)),ISNUMBER(SEARCH("unavailable",P51))),"Detail only","Image-backed")</x:f>
        <x:v>Image-backed</x:v>
      </x:c>
      <x:c r="S51" s="335" t="n">
        <x:f>IF(ISNUMBER(A51),YEAR(A51),VALUE(LEFT(A51,4)))</x:f>
        <x:v>1992</x:v>
      </x:c>
      <x:c r="T51" s="332" t="str">
        <x:f>IF(OR(ISNUMBER(SEARCH("Cherry",D51)),ISNUMBER(SEARCH("C-Wren",D51))),"Cherry / C-Wren / KG",IF(OR(ISNUMBER(SEARCH("Rocky Fork",D51)),ISNUMBER(SEARCH("N.A. Property",D51))),"Rocky / New Albany",IF(ISNUMBER(SEARCH("Morsham",D51)),"Morsham / Eastern",IF(ISNUMBER(SEARCH("Park Properties",D51)),"Park",IF(OR(ISNUMBER(SEARCH("H.H.D",D51)),ISNUMBER(SEARCH("Family Property Trust",D51))),"HHD / Trust","Other")))))</x:f>
        <x:v>Rocky / New Albany</x:v>
      </x:c>
      <x:c r="U51" s="332" t="str">
        <x:f>S51&amp;"|"&amp;T51</x:f>
        <x:v>1992|Rocky / New Albany</x:v>
      </x:c>
    </x:row>
    <x:row r="52" ht="58" customHeight="1">
      <x:c r="A52" s="312" t="n">
        <x:v>33658.5</x:v>
      </x:c>
      <x:c r="B52" s="315" t="str">
        <x:v>199202240068275</x:v>
      </x:c>
      <x:c r="C52" s="315" t="str">
        <x:v>123721927</x:v>
      </x:c>
      <x:c r="D52" s="303" t="str">
        <x:v>Rocky Fork Development / The New Albany Company</x:v>
      </x:c>
      <x:c r="E52" s="303" t="str">
        <x:v>Strip across tracts of record OR 13258 B13 and OR 12808 F10</x:v>
      </x:c>
      <x:c r="F52" s="303" t="str">
        <x:v>0.013 acre</x:v>
      </x:c>
      <x:c r="G52" s="303" t="str">
        <x:v>deed of easement</x:v>
      </x:c>
      <x:c r="H52" s="303" t="str">
        <x:v>The New Albany Company</x:v>
      </x:c>
      <x:c r="I52" s="303" t="str">
        <x:v>Village of New Albany</x:v>
      </x:c>
      <x:c r="J52" s="303" t="str">
        <x:v>general partner executing for New Albany</x:v>
      </x:c>
      <x:c r="K52" s="303" t="str">
        <x:v>Grants a perpetual sewer easement over New Albany tracts; Rocky Fork is representative, not a separate fee grantor.</x:v>
      </x:c>
      <x:c r="L52" s="303" t="str">
        <x:v>$1 and other good and valuable consideration; stamp: transfer not necessary / conveyance tax exempt</x:v>
      </x:c>
      <x:c r="M52" s="315" t="str">
        <x:v>OR 13258 B13; OR 12808 F10</x:v>
      </x:c>
      <x:c r="N52" s="315"/>
      <x:c r="O52" s="303" t="str">
        <x:v>https://franklin.oh.publicsearch.us/doc/123721927?department=RP</x:v>
      </x:c>
      <x:c r="P52" s="303" t="str">
        <x:v>image_retrieved_ocr_reviewed</x:v>
      </x:c>
      <x:c r="Q52" s="303" t="str">
        <x:v>Recorder exact-party index makes Rocky Fork appear as direct grantor; image text says New Albany is grantor by Rocky Fork as general partner. Conveyance-tax/fee figures are not treated as sale price. Nominal stated consideration is not treated as sale price. Easement affects rights/use but does not transfer the fee.</x:v>
      </x:c>
      <x:c r="R52" s="332" t="str">
        <x:f>IF(OR(ISNUMBER(SEARCH("zero public",P52)),ISNUMBER(SEARCH("unavailable",P52))),"Detail only","Image-backed")</x:f>
        <x:v>Image-backed</x:v>
      </x:c>
      <x:c r="S52" s="335" t="n">
        <x:f>IF(ISNUMBER(A52),YEAR(A52),VALUE(LEFT(A52,4)))</x:f>
        <x:v>1992</x:v>
      </x:c>
      <x:c r="T52" s="332" t="str">
        <x:f>IF(OR(ISNUMBER(SEARCH("Cherry",D52)),ISNUMBER(SEARCH("C-Wren",D52))),"Cherry / C-Wren / KG",IF(OR(ISNUMBER(SEARCH("Rocky Fork",D52)),ISNUMBER(SEARCH("N.A. Property",D52))),"Rocky / New Albany",IF(ISNUMBER(SEARCH("Morsham",D52)),"Morsham / Eastern",IF(ISNUMBER(SEARCH("Park Properties",D52)),"Park",IF(OR(ISNUMBER(SEARCH("H.H.D",D52)),ISNUMBER(SEARCH("Family Property Trust",D52))),"HHD / Trust","Other")))))</x:f>
        <x:v>Rocky / New Albany</x:v>
      </x:c>
      <x:c r="U52" s="332" t="str">
        <x:f>S52&amp;"|"&amp;T52</x:f>
        <x:v>1992|Rocky / New Albany</x:v>
      </x:c>
    </x:row>
    <x:row r="53" ht="58" customHeight="1">
      <x:c r="A53" s="312" t="n">
        <x:v>33718.5</x:v>
      </x:c>
      <x:c r="B53" s="315" t="str">
        <x:v>199204240104818</x:v>
      </x:c>
      <x:c r="C53" s="315" t="str">
        <x:v>123765932</x:v>
      </x:c>
      <x:c r="D53" s="303" t="str">
        <x:v>INN Investment / BI Limited Partnership</x:v>
      </x:c>
      <x:c r="E53" s="303" t="str">
        <x:v>No parcel stated; BI/Columbus hotel partnership</x:v>
      </x:c>
      <x:c r="F53" s="303"/>
      <x:c r="G53" s="303" t="str">
        <x:v>Amendment to limited-partnership certificate</x:v>
      </x:c>
      <x:c r="H53" s="303" t="str">
        <x:v>INN Investment Corp. (withdrawn partner)</x:v>
      </x:c>
      <x:c r="I53" s="303" t="str">
        <x:v>BI Limited Partnership / remaining partners</x:v>
      </x:c>
      <x:c r="J53" s="303" t="str">
        <x:v>Instrument states INN withdrew; it does not call the exit a merger.</x:v>
      </x:c>
      <x:c r="K53" s="303" t="str">
        <x:v>Changes partnership roster; no identified fee-title transfer or asset recipient.</x:v>
      </x:c>
      <x:c r="L53" s="303"/>
      <x:c r="M53" s="315" t="str">
        <x:v>198608270148627 / recorder volume 18024 C03</x:v>
      </x:c>
      <x:c r="N53" s="315"/>
      <x:c r="O53" s="303" t="str">
        <x:v>https://franklin.oh.publicsearch.us/doc/123765932?department=RP</x:v>
      </x:c>
      <x:c r="P53" s="303" t="str">
        <x:v>Primary recorder images retrieved; OCR reviewed; material pages visually inspected.</x:v>
      </x:c>
      <x:c r="Q53" s="303"/>
      <x:c r="R53" s="332" t="str">
        <x:f>IF(OR(ISNUMBER(SEARCH("zero public",P53)),ISNUMBER(SEARCH("unavailable",P53))),"Detail only","Image-backed")</x:f>
        <x:v>Image-backed</x:v>
      </x:c>
      <x:c r="S53" s="335" t="n">
        <x:f>IF(ISNUMBER(A53),YEAR(A53),VALUE(LEFT(A53,4)))</x:f>
        <x:v>1992</x:v>
      </x:c>
      <x:c r="T53" s="332" t="str">
        <x:f>IF(OR(ISNUMBER(SEARCH("Cherry",D53)),ISNUMBER(SEARCH("C-Wren",D53))),"Cherry / C-Wren / KG",IF(OR(ISNUMBER(SEARCH("Rocky Fork",D53)),ISNUMBER(SEARCH("N.A. Property",D53))),"Rocky / New Albany",IF(ISNUMBER(SEARCH("Morsham",D53)),"Morsham / Eastern",IF(ISNUMBER(SEARCH("Park Properties",D53)),"Park",IF(OR(ISNUMBER(SEARCH("H.H.D",D53)),ISNUMBER(SEARCH("Family Property Trust",D53))),"HHD / Trust","Other")))))</x:f>
        <x:v>Other</x:v>
      </x:c>
      <x:c r="U53" s="332" t="str">
        <x:f>S53&amp;"|"&amp;T53</x:f>
        <x:v>1992|Other</x:v>
      </x:c>
    </x:row>
    <x:row r="54" ht="58" customHeight="1">
      <x:c r="A54" s="312" t="n">
        <x:v>33738.5</x:v>
      </x:c>
      <x:c r="B54" s="315" t="str">
        <x:v>199205140117148</x:v>
      </x:c>
      <x:c r="C54" s="315" t="str">
        <x:v>123780639</x:v>
      </x:c>
      <x:c r="D54" s="303" t="str">
        <x:v>C-Wren Investment / KG Partners</x:v>
      </x:c>
      <x:c r="E54" s="303" t="str">
        <x:v>KG Morse Road tract</x:v>
      </x:c>
      <x:c r="F54" s="303" t="str">
        <x:v>Recorder index says 33.674 acres; underlying deed family says 33.664 gross / 32.517 net</x:v>
      </x:c>
      <x:c r="G54" s="303" t="str">
        <x:v>Electric utility easement</x:v>
      </x:c>
      <x:c r="H54" s="303" t="str">
        <x:v>KG Partners</x:v>
      </x:c>
      <x:c r="I54" s="303" t="str">
        <x:v>Columbus Southern Power Company</x:v>
      </x:c>
      <x:c r="J54" s="303" t="str">
        <x:v>KG acts as owner/grantor.</x:v>
      </x:c>
      <x:c r="K54" s="303" t="str">
        <x:v>Creates utility easement; no fee-title transfer.</x:v>
      </x:c>
      <x:c r="L54" s="303"/>
      <x:c r="M54" s="315"/>
      <x:c r="N54" s="315"/>
      <x:c r="O54" s="303" t="str">
        <x:v>https://franklin.oh.publicsearch.us/doc/123780639?department=RP</x:v>
      </x:c>
      <x:c r="P54" s="303" t="str">
        <x:v>Primary recorder images retrieved; OCR reviewed; material pages visually inspected.</x:v>
      </x:c>
      <x:c r="Q54" s="303" t="str">
        <x:v>The index acreage differs from the deed-family acreage and is preserved rather than silently corrected.</x:v>
      </x:c>
      <x:c r="R54" s="332" t="str">
        <x:f>IF(OR(ISNUMBER(SEARCH("zero public",P54)),ISNUMBER(SEARCH("unavailable",P54))),"Detail only","Image-backed")</x:f>
        <x:v>Image-backed</x:v>
      </x:c>
      <x:c r="S54" s="335" t="n">
        <x:f>IF(ISNUMBER(A54),YEAR(A54),VALUE(LEFT(A54,4)))</x:f>
        <x:v>1992</x:v>
      </x:c>
      <x:c r="T54" s="332" t="str">
        <x:f>IF(OR(ISNUMBER(SEARCH("Cherry",D54)),ISNUMBER(SEARCH("C-Wren",D54))),"Cherry / C-Wren / KG",IF(OR(ISNUMBER(SEARCH("Rocky Fork",D54)),ISNUMBER(SEARCH("N.A. Property",D54))),"Rocky / New Albany",IF(ISNUMBER(SEARCH("Morsham",D54)),"Morsham / Eastern",IF(ISNUMBER(SEARCH("Park Properties",D54)),"Park",IF(OR(ISNUMBER(SEARCH("H.H.D",D54)),ISNUMBER(SEARCH("Family Property Trust",D54))),"HHD / Trust","Other")))))</x:f>
        <x:v>Cherry / C-Wren / KG</x:v>
      </x:c>
      <x:c r="U54" s="332" t="str">
        <x:f>S54&amp;"|"&amp;T54</x:f>
        <x:v>1992|Cherry / C-Wren / KG</x:v>
      </x:c>
    </x:row>
    <x:row r="55" ht="58" customHeight="1">
      <x:c r="A55" s="312" t="n">
        <x:v>33865.5</x:v>
      </x:c>
      <x:c r="B55" s="315" t="str">
        <x:v>199209180189798</x:v>
      </x:c>
      <x:c r="C55" s="315" t="str">
        <x:v>123868678</x:v>
      </x:c>
      <x:c r="D55" s="303" t="str">
        <x:v>C-Wren Investment / KG Partners</x:v>
      </x:c>
      <x:c r="E55" s="303" t="str">
        <x:v>KG tract, OR 17785 A12</x:v>
      </x:c>
      <x:c r="F55" s="303" t="str">
        <x:v>32.517 acres net</x:v>
      </x:c>
      <x:c r="G55" s="303" t="str">
        <x:v>Underground-communications easement</x:v>
      </x:c>
      <x:c r="H55" s="303" t="str">
        <x:v>KG Partners</x:v>
      </x:c>
      <x:c r="I55" s="303" t="str">
        <x:v>Ohio Bell Telephone Company</x:v>
      </x:c>
      <x:c r="J55" s="303" t="str">
        <x:v>KG acts as owner/grantor.</x:v>
      </x:c>
      <x:c r="K55" s="303" t="str">
        <x:v>Creates a second indexed communications-easement record; no fee-title transfer.</x:v>
      </x:c>
      <x:c r="L55" s="303"/>
      <x:c r="M55" s="315"/>
      <x:c r="N55" s="315"/>
      <x:c r="O55" s="303" t="str">
        <x:v>https://franklin.oh.publicsearch.us/doc/123868678?department=RP</x:v>
      </x:c>
      <x:c r="P55" s="303" t="str">
        <x:v>Primary recorder images retrieved; OCR reviewed; material pages visually inspected.</x:v>
      </x:c>
      <x:c r="Q55" s="303" t="str">
        <x:v>Separate instrument number, but do not infer duplicate or distinct physical routes without comparing both legal exhibits.</x:v>
      </x:c>
      <x:c r="R55" s="332" t="str">
        <x:f>IF(OR(ISNUMBER(SEARCH("zero public",P55)),ISNUMBER(SEARCH("unavailable",P55))),"Detail only","Image-backed")</x:f>
        <x:v>Image-backed</x:v>
      </x:c>
      <x:c r="S55" s="335" t="n">
        <x:f>IF(ISNUMBER(A55),YEAR(A55),VALUE(LEFT(A55,4)))</x:f>
        <x:v>1992</x:v>
      </x:c>
      <x:c r="T55" s="332" t="str">
        <x:f>IF(OR(ISNUMBER(SEARCH("Cherry",D55)),ISNUMBER(SEARCH("C-Wren",D55))),"Cherry / C-Wren / KG",IF(OR(ISNUMBER(SEARCH("Rocky Fork",D55)),ISNUMBER(SEARCH("N.A. Property",D55))),"Rocky / New Albany",IF(ISNUMBER(SEARCH("Morsham",D55)),"Morsham / Eastern",IF(ISNUMBER(SEARCH("Park Properties",D55)),"Park",IF(OR(ISNUMBER(SEARCH("H.H.D",D55)),ISNUMBER(SEARCH("Family Property Trust",D55))),"HHD / Trust","Other")))))</x:f>
        <x:v>Cherry / C-Wren / KG</x:v>
      </x:c>
      <x:c r="U55" s="332" t="str">
        <x:f>S55&amp;"|"&amp;T55</x:f>
        <x:v>1992|Cherry / C-Wren / KG</x:v>
      </x:c>
    </x:row>
    <x:row r="56" ht="58" customHeight="1">
      <x:c r="A56" s="312" t="n">
        <x:v>33865.5</x:v>
      </x:c>
      <x:c r="B56" s="315" t="str">
        <x:v>199209180189799</x:v>
      </x:c>
      <x:c r="C56" s="315" t="str">
        <x:v>123868674</x:v>
      </x:c>
      <x:c r="D56" s="303" t="str">
        <x:v>C-Wren Investment / KG Partners</x:v>
      </x:c>
      <x:c r="E56" s="303" t="str">
        <x:v>KG tract, OR 17785 A12</x:v>
      </x:c>
      <x:c r="F56" s="303" t="str">
        <x:v>32.517 acres net</x:v>
      </x:c>
      <x:c r="G56" s="303" t="str">
        <x:v>Underground-communications easement</x:v>
      </x:c>
      <x:c r="H56" s="303" t="str">
        <x:v>KG Partners</x:v>
      </x:c>
      <x:c r="I56" s="303" t="str">
        <x:v>Ohio Bell Telephone Company</x:v>
      </x:c>
      <x:c r="J56" s="303" t="str">
        <x:v>KG acts as owner/grantor.</x:v>
      </x:c>
      <x:c r="K56" s="303" t="str">
        <x:v>Creates communications easement; no fee-title transfer.</x:v>
      </x:c>
      <x:c r="L56" s="303"/>
      <x:c r="M56" s="315"/>
      <x:c r="N56" s="315"/>
      <x:c r="O56" s="303" t="str">
        <x:v>https://franklin.oh.publicsearch.us/doc/123868674?department=RP</x:v>
      </x:c>
      <x:c r="P56" s="303" t="str">
        <x:v>Primary recorder images retrieved; OCR reviewed; material pages visually inspected.</x:v>
      </x:c>
      <x:c r="Q56" s="303"/>
      <x:c r="R56" s="332" t="str">
        <x:f>IF(OR(ISNUMBER(SEARCH("zero public",P56)),ISNUMBER(SEARCH("unavailable",P56))),"Detail only","Image-backed")</x:f>
        <x:v>Image-backed</x:v>
      </x:c>
      <x:c r="S56" s="335" t="n">
        <x:f>IF(ISNUMBER(A56),YEAR(A56),VALUE(LEFT(A56,4)))</x:f>
        <x:v>1992</x:v>
      </x:c>
      <x:c r="T56" s="332" t="str">
        <x:f>IF(OR(ISNUMBER(SEARCH("Cherry",D56)),ISNUMBER(SEARCH("C-Wren",D56))),"Cherry / C-Wren / KG",IF(OR(ISNUMBER(SEARCH("Rocky Fork",D56)),ISNUMBER(SEARCH("N.A. Property",D56))),"Rocky / New Albany",IF(ISNUMBER(SEARCH("Morsham",D56)),"Morsham / Eastern",IF(ISNUMBER(SEARCH("Park Properties",D56)),"Park",IF(OR(ISNUMBER(SEARCH("H.H.D",D56)),ISNUMBER(SEARCH("Family Property Trust",D56))),"HHD / Trust","Other")))))</x:f>
        <x:v>Cherry / C-Wren / KG</x:v>
      </x:c>
      <x:c r="U56" s="332" t="str">
        <x:f>S56&amp;"|"&amp;T56</x:f>
        <x:v>1992|Cherry / C-Wren / KG</x:v>
      </x:c>
    </x:row>
    <x:row r="57" ht="58" customHeight="1">
      <x:c r="A57" s="312" t="n">
        <x:v>33875.5</x:v>
      </x:c>
      <x:c r="B57" s="315" t="str">
        <x:v>190001010010624</x:v>
      </x:c>
      <x:c r="C57" s="315" t="str">
        <x:v>131772911</x:v>
      </x:c>
      <x:c r="D57" s="303" t="str">
        <x:v>Cherry Bottom Properties / Investors</x:v>
      </x:c>
      <x:c r="E57" s="303" t="str">
        <x:v>Cherry Bottom Commerce Park, City of Gahanna, Franklin County; Lots 1-4; Lot 1 5.291 acres, Lot 2 4.060 acres, Lot 3 1.619 acres, Lot 4 2.733 acres; acreage/area: 15.623 total plat acres</x:v>
      </x:c>
      <x:c r="F57" s="303" t="str">
        <x:v>5.291 acres; 4.060 acres; 1.619 acres; 2.733 acres; 15.623 total plat acres</x:v>
      </x:c>
      <x:c r="G57" s="303" t="str">
        <x:v>PLAT</x:v>
      </x:c>
      <x:c r="H57" s="303" t="str">
        <x:v>Cherry Bottom Properties, Inc., owner of an undivided 66 2/3%; Thomas H. Lurie and Nancy N. Lurie, owners of an undivided 33 1/3%</x:v>
      </x:c>
      <x:c r="I57" s="303" t="str">
        <x:v>City of Gahanna / public plat dedication and lot owners</x:v>
      </x:c>
      <x:c r="J57" s="303" t="str">
        <x:v>Cherry Bottom Properties, Inc. expressly appears as 66 2/3% owner; Thomas H. and Nancy N. Lurie appear as 33 1/3% owners. No successor-by-merger recital.</x:v>
      </x:c>
      <x:c r="K57" s="303" t="str">
        <x:v>The 1900 instrument date is an index placeholder, not the plat date. Face execution dates are September 4 and 8, 1992; recorder marginal text says recorded September 28, 1992. Municipal approvals on the face include 1992 dates.</x:v>
      </x:c>
      <x:c r="L57" s="303" t="str">
        <x:v>Document face: Not applicable; Recorder/index tax or amount: Not applicable</x:v>
      </x:c>
      <x:c r="M57" s="315" t="str">
        <x:v>Prior: OR 16658J11; OR 11253J11; next/marginal: Recorded in Plat Book 76, page 49</x:v>
      </x:c>
      <x:c r="N57" s="315" t="str">
        <x:v>next/marginal Recorded in Plat Book 76, page 49</x:v>
      </x:c>
      <x:c r="O57" s="303" t="str">
        <x:v>https://franklin.oh.publicsearch.us/doc/131772911?department=RP</x:v>
      </x:c>
      <x:c r="P57" s="303" t="str">
        <x:v>Primary recorder images; all pages reviewed through OCR and the cited pages visually checked (visual_primary_resolves_index_date).</x:v>
      </x:c>
      <x:c r="Q57" s="303" t="str">
        <x:v>Execution/effective date: 1992-09-04 (Cherry Bottom Properties, Inc.); 1992-09-08 (Thomas H. and Nancy N. Lurie). Portal's 1900 date is a placeholder; the face establishes September 28, 1992 recording.</x:v>
      </x:c>
      <x:c r="R57" s="332" t="str">
        <x:f>IF(OR(ISNUMBER(SEARCH("zero public",P57)),ISNUMBER(SEARCH("unavailable",P57))),"Detail only","Image-backed")</x:f>
        <x:v>Image-backed</x:v>
      </x:c>
      <x:c r="S57" s="335" t="n">
        <x:f>IF(ISNUMBER(A57),YEAR(A57),VALUE(LEFT(A57,4)))</x:f>
        <x:v>1992</x:v>
      </x:c>
      <x:c r="T57" s="332" t="str">
        <x:f>IF(OR(ISNUMBER(SEARCH("Cherry",D57)),ISNUMBER(SEARCH("C-Wren",D57))),"Cherry / C-Wren / KG",IF(OR(ISNUMBER(SEARCH("Rocky Fork",D57)),ISNUMBER(SEARCH("N.A. Property",D57))),"Rocky / New Albany",IF(ISNUMBER(SEARCH("Morsham",D57)),"Morsham / Eastern",IF(ISNUMBER(SEARCH("Park Properties",D57)),"Park",IF(OR(ISNUMBER(SEARCH("H.H.D",D57)),ISNUMBER(SEARCH("Family Property Trust",D57))),"HHD / Trust","Other")))))</x:f>
        <x:v>Cherry / C-Wren / KG</x:v>
      </x:c>
      <x:c r="U57" s="332" t="str">
        <x:f>S57&amp;"|"&amp;T57</x:f>
        <x:v>1992|Cherry / C-Wren / KG</x:v>
      </x:c>
    </x:row>
    <x:row r="58" ht="58" customHeight="1">
      <x:c r="A58" s="312" t="n">
        <x:v>33926.5</x:v>
      </x:c>
      <x:c r="B58" s="315" t="str">
        <x:v>199211180228288</x:v>
      </x:c>
      <x:c r="C58" s="315" t="str">
        <x:v>123914591</x:v>
      </x:c>
      <x:c r="D58" s="303" t="str">
        <x:v>Epstein / H.H.D.&amp;B. / Rotunda House</x:v>
      </x:c>
      <x:c r="E58" s="303" t="str">
        <x:v>Part of former 222-293; later parcel 222-001350 | 7103/7091 East Dublin-Granville Road</x:v>
      </x:c>
      <x:c r="F58" s="303" t="str">
        <x:v>30.368-acre fee tract plus 1.395-acre driveway easement</x:v>
      </x:c>
      <x:c r="G58" s="303" t="str">
        <x:v>Fiduciary deed</x:v>
      </x:c>
      <x:c r="H58" s="303" t="str">
        <x:v>JW&amp;CPK &amp; Co., trustee of the Kessler 1991 Revocable Trust</x:v>
      </x:c>
      <x:c r="I58" s="303" t="str">
        <x:v>Jeffrey E. Epstein</x:v>
      </x:c>
      <x:c r="J58" s="303" t="str">
        <x:v>Epstein acquires individually; Wexner signs for the corporate trustee.</x:v>
      </x:c>
      <x:c r="K58" s="303" t="str">
        <x:v>Conveys fee title to the 30.368-acre tract and grants a conditional driveway easement.</x:v>
      </x:c>
      <x:c r="L58" s="303" t="str">
        <x:v>Valuable consideration paid, amount not stated; conveyance-tax stamp $3,500; Auditor transfer record separately reports $3,500,000.</x:v>
      </x:c>
      <x:c r="M58" s="315" t="str">
        <x:v>OR 16999 E10</x:v>
      </x:c>
      <x:c r="N58" s="315" t="str">
        <x:v>199805130116673 / OR 20149 C18</x:v>
      </x:c>
      <x:c r="O58" s="303" t="str">
        <x:v>https://franklin.oh.publicsearch.us/doc/123914591?department=RP</x:v>
      </x:c>
      <x:c r="P58" s="303" t="str">
        <x:v>Primary recorder images retrieved; OCR reviewed; material pages visually inspected.</x:v>
      </x:c>
      <x:c r="Q58" s="303" t="str">
        <x:v>The conveyance-tax stamp is not itself the deed's stated purchase price; the Auditor figure is a separate transfer-record field. Conveyance-tax/fee figures are not treated as sale price.</x:v>
      </x:c>
      <x:c r="R58" s="332" t="str">
        <x:f>IF(OR(ISNUMBER(SEARCH("zero public",P58)),ISNUMBER(SEARCH("unavailable",P58))),"Detail only","Image-backed")</x:f>
        <x:v>Image-backed</x:v>
      </x:c>
      <x:c r="S58" s="335" t="n">
        <x:f>IF(ISNUMBER(A58),YEAR(A58),VALUE(LEFT(A58,4)))</x:f>
        <x:v>1992</x:v>
      </x:c>
      <x:c r="T58" s="332" t="str">
        <x:f>IF(OR(ISNUMBER(SEARCH("Cherry",D58)),ISNUMBER(SEARCH("C-Wren",D58))),"Cherry / C-Wren / KG",IF(OR(ISNUMBER(SEARCH("Rocky Fork",D58)),ISNUMBER(SEARCH("N.A. Property",D58))),"Rocky / New Albany",IF(ISNUMBER(SEARCH("Morsham",D58)),"Morsham / Eastern",IF(ISNUMBER(SEARCH("Park Properties",D58)),"Park",IF(OR(ISNUMBER(SEARCH("H.H.D",D58)),ISNUMBER(SEARCH("Family Property Trust",D58))),"HHD / Trust","Other")))))</x:f>
        <x:v>HHD / Trust</x:v>
      </x:c>
      <x:c r="U58" s="332" t="str">
        <x:f>S58&amp;"|"&amp;T58</x:f>
        <x:v>1992|HHD / Trust</x:v>
      </x:c>
    </x:row>
    <x:row r="59" ht="58" customHeight="1">
      <x:c r="A59" s="312" t="n">
        <x:v>33926.5</x:v>
      </x:c>
      <x:c r="B59" s="315" t="str">
        <x:v>199211180228289</x:v>
      </x:c>
      <x:c r="C59" s="315" t="str">
        <x:v>123914662</x:v>
      </x:c>
      <x:c r="D59" s="303" t="str">
        <x:v>Epstein / H.H.D.&amp;B. / Rotunda House</x:v>
      </x:c>
      <x:c r="E59" s="303" t="str">
        <x:v>Driveway easement over New Albany tracts OR 14554 B14 benefiting the 30.368-acre Epstein tract</x:v>
      </x:c>
      <x:c r="F59" s="303" t="str">
        <x:v>2.627-acre easement area; benefits 30.368-acre tract</x:v>
      </x:c>
      <x:c r="G59" s="303" t="str">
        <x:v>Deed of easement</x:v>
      </x:c>
      <x:c r="H59" s="303" t="str">
        <x:v>The New Albany Company</x:v>
      </x:c>
      <x:c r="I59" s="303" t="str">
        <x:v>Jeffrey E. Epstein</x:v>
      </x:c>
      <x:c r="J59" s="303" t="str">
        <x:v>New Albany is easement grantor; Epstein is grantee.</x:v>
      </x:c>
      <x:c r="K59" s="303" t="str">
        <x:v>Grants a nonexclusive driveway easement; no transfer of the servient fee.</x:v>
      </x:c>
      <x:c r="L59" s="303" t="str">
        <x:v>Valuable consideration paid, amount not stated.</x:v>
      </x:c>
      <x:c r="M59" s="315" t="str">
        <x:v>OR 14554 B14</x:v>
      </x:c>
      <x:c r="N59" s="315"/>
      <x:c r="O59" s="303" t="str">
        <x:v>https://franklin.oh.publicsearch.us/doc/123914662?department=RP</x:v>
      </x:c>
      <x:c r="P59" s="303" t="str">
        <x:v>Primary recorder images retrieved; OCR reviewed; material pages visually inspected.</x:v>
      </x:c>
      <x:c r="Q59" s="303" t="str">
        <x:v>Easement rights are appurtenant/conditional and are distinct from fee ownership.</x:v>
      </x:c>
      <x:c r="R59" s="332" t="str">
        <x:f>IF(OR(ISNUMBER(SEARCH("zero public",P59)),ISNUMBER(SEARCH("unavailable",P59))),"Detail only","Image-backed")</x:f>
        <x:v>Image-backed</x:v>
      </x:c>
      <x:c r="S59" s="335" t="n">
        <x:f>IF(ISNUMBER(A59),YEAR(A59),VALUE(LEFT(A59,4)))</x:f>
        <x:v>1992</x:v>
      </x:c>
      <x:c r="T59" s="332" t="str">
        <x:f>IF(OR(ISNUMBER(SEARCH("Cherry",D59)),ISNUMBER(SEARCH("C-Wren",D59))),"Cherry / C-Wren / KG",IF(OR(ISNUMBER(SEARCH("Rocky Fork",D59)),ISNUMBER(SEARCH("N.A. Property",D59))),"Rocky / New Albany",IF(ISNUMBER(SEARCH("Morsham",D59)),"Morsham / Eastern",IF(ISNUMBER(SEARCH("Park Properties",D59)),"Park",IF(OR(ISNUMBER(SEARCH("H.H.D",D59)),ISNUMBER(SEARCH("Family Property Trust",D59))),"HHD / Trust","Other")))))</x:f>
        <x:v>HHD / Trust</x:v>
      </x:c>
      <x:c r="U59" s="332" t="str">
        <x:f>S59&amp;"|"&amp;T59</x:f>
        <x:v>1992|HHD / Trust</x:v>
      </x:c>
    </x:row>
    <x:row r="60" ht="58" customHeight="1">
      <x:c r="A60" s="312" t="n">
        <x:v>33926.5</x:v>
      </x:c>
      <x:c r="B60" s="315" t="str">
        <x:v>199211180228290</x:v>
      </x:c>
      <x:c r="C60" s="315" t="str">
        <x:v>123914678</x:v>
      </x:c>
      <x:c r="D60" s="303" t="str">
        <x:v>Epstein / New Albany reciprocal buffer</x:v>
      </x:c>
      <x:c r="E60" s="303" t="str">
        <x:v>East strip out of Epstein's Lot 28 tract; west strip out of New Albany's Lot 37 tract (OR 16314 A12)</x:v>
      </x:c>
      <x:c r="F60" s="303" t="str">
        <x:v>1.140-acre east strip; 1.140-acre west strip</x:v>
      </x:c>
      <x:c r="G60" s="303" t="str">
        <x:v>Declaration of restriction</x:v>
      </x:c>
      <x:c r="H60" s="303" t="str">
        <x:v>Jeffrey E. Epstein and The New Albany Company</x:v>
      </x:c>
      <x:c r="I60" s="303" t="str">
        <x:v>Their respective parcels, heirs/successors/assigns</x:v>
      </x:c>
      <x:c r="J60" s="303" t="str">
        <x:v>Each party acts as recited owner of an adjoining restricted area.</x:v>
      </x:c>
      <x:c r="K60" s="303" t="str">
        <x:v>Imposes reciprocal treed-landscape buffer covenant running with both strips; no fee-title transfer.</x:v>
      </x:c>
      <x:c r="L60" s="303" t="str">
        <x:v>Mutual execution/material benefit; no sale price or debt.</x:v>
      </x:c>
      <x:c r="M60" s="315" t="str">
        <x:v>East source OR 16999 E10; west source OR 16314 A12</x:v>
      </x:c>
      <x:c r="N60" s="315"/>
      <x:c r="O60" s="303" t="str">
        <x:v>https://franklin.oh.publicsearch.us/doc/123914678?department=RP</x:v>
      </x:c>
      <x:c r="P60" s="303" t="str">
        <x:v>Primary recorder images retrieved; OCR reviewed; material pages visually inspected.</x:v>
      </x:c>
      <x:c r="Q60" s="303"/>
      <x:c r="R60" s="332" t="str">
        <x:f>IF(OR(ISNUMBER(SEARCH("zero public",P60)),ISNUMBER(SEARCH("unavailable",P60))),"Detail only","Image-backed")</x:f>
        <x:v>Image-backed</x:v>
      </x:c>
      <x:c r="S60" s="335" t="n">
        <x:f>IF(ISNUMBER(A60),YEAR(A60),VALUE(LEFT(A60,4)))</x:f>
        <x:v>1992</x:v>
      </x:c>
      <x:c r="T60" s="332" t="str">
        <x:f>IF(OR(ISNUMBER(SEARCH("Cherry",D60)),ISNUMBER(SEARCH("C-Wren",D60))),"Cherry / C-Wren / KG",IF(OR(ISNUMBER(SEARCH("Rocky Fork",D60)),ISNUMBER(SEARCH("N.A. Property",D60))),"Rocky / New Albany",IF(ISNUMBER(SEARCH("Morsham",D60)),"Morsham / Eastern",IF(ISNUMBER(SEARCH("Park Properties",D60)),"Park",IF(OR(ISNUMBER(SEARCH("H.H.D",D60)),ISNUMBER(SEARCH("Family Property Trust",D60))),"HHD / Trust","Other")))))</x:f>
        <x:v>Other</x:v>
      </x:c>
      <x:c r="U60" s="332" t="str">
        <x:f>S60&amp;"|"&amp;T60</x:f>
        <x:v>1992|Other</x:v>
      </x:c>
    </x:row>
    <x:row r="61" ht="58" customHeight="1">
      <x:c r="A61" s="312" t="n">
        <x:v>33940.5</x:v>
      </x:c>
      <x:c r="B61" s="315" t="str">
        <x:v>199212020237724</x:v>
      </x:c>
      <x:c r="C61" s="315" t="str">
        <x:v>123926376</x:v>
      </x:c>
      <x:c r="D61" s="303" t="str">
        <x:v>N.A. Property / New Albany LP</x:v>
      </x:c>
      <x:c r="E61" s="303" t="str">
        <x:v>No parcel; business purpose is acquiring/holding/developing regional real property</x:v>
      </x:c>
      <x:c r="F61" s="303"/>
      <x:c r="G61" s="303" t="str">
        <x:v>Foreign limited-partnership registration</x:v>
      </x:c>
      <x:c r="H61" s="303" t="str">
        <x:v>N.A. Property, Inc.; Community Projects, Inc.; Rocky Fork Development Corp.</x:v>
      </x:c>
      <x:c r="I61" s="303" t="str">
        <x:v>The New Albany Company Limited Partnership</x:v>
      </x:c>
      <x:c r="J61" s="303" t="str">
        <x:v>N.A. Property and Community Projects are general partners; Rocky Fork is limited partner; Epstein signs as N.A. Property president.</x:v>
      </x:c>
      <x:c r="K61" s="303" t="str">
        <x:v>Records partnership/control roles; does not itself convey any parcel.</x:v>
      </x:c>
      <x:c r="L61" s="303"/>
      <x:c r="M61" s="315"/>
      <x:c r="N61" s="315"/>
      <x:c r="O61" s="303" t="str">
        <x:v>https://franklin.oh.publicsearch.us/doc/123926376?department=RP</x:v>
      </x:c>
      <x:c r="P61" s="303" t="str">
        <x:v>Primary recorder images retrieved; OCR reviewed; material pages visually inspected.</x:v>
      </x:c>
      <x:c r="Q61" s="303" t="str">
        <x:v>Corporate officer and general-partner roles do not establish personal or beneficial title.</x:v>
      </x:c>
      <x:c r="R61" s="332" t="str">
        <x:f>IF(OR(ISNUMBER(SEARCH("zero public",P61)),ISNUMBER(SEARCH("unavailable",P61))),"Detail only","Image-backed")</x:f>
        <x:v>Image-backed</x:v>
      </x:c>
      <x:c r="S61" s="335" t="n">
        <x:f>IF(ISNUMBER(A61),YEAR(A61),VALUE(LEFT(A61,4)))</x:f>
        <x:v>1992</x:v>
      </x:c>
      <x:c r="T61" s="332" t="str">
        <x:f>IF(OR(ISNUMBER(SEARCH("Cherry",D61)),ISNUMBER(SEARCH("C-Wren",D61))),"Cherry / C-Wren / KG",IF(OR(ISNUMBER(SEARCH("Rocky Fork",D61)),ISNUMBER(SEARCH("N.A. Property",D61))),"Rocky / New Albany",IF(ISNUMBER(SEARCH("Morsham",D61)),"Morsham / Eastern",IF(ISNUMBER(SEARCH("Park Properties",D61)),"Park",IF(OR(ISNUMBER(SEARCH("H.H.D",D61)),ISNUMBER(SEARCH("Family Property Trust",D61))),"HHD / Trust","Other")))))</x:f>
        <x:v>Rocky / New Albany</x:v>
      </x:c>
      <x:c r="U61" s="332" t="str">
        <x:f>S61&amp;"|"&amp;T61</x:f>
        <x:v>1992|Rocky / New Albany</x:v>
      </x:c>
    </x:row>
    <x:row r="62" ht="58" customHeight="1">
      <x:c r="A62" s="312" t="n">
        <x:v>33946.5</x:v>
      </x:c>
      <x:c r="B62" s="315" t="str">
        <x:v>199212080242107</x:v>
      </x:c>
      <x:c r="C62" s="315" t="str">
        <x:v>123930221</x:v>
      </x:c>
      <x:c r="D62" s="303" t="str">
        <x:v>Rocky Fork Development / The New Albany Company</x:v>
      </x:c>
      <x:c r="E62" s="303" t="str">
        <x:v>New Albany Country Club Community declaration</x:v>
      </x:c>
      <x:c r="F62" s="303"/>
      <x:c r="G62" s="303" t="str">
        <x:v>designation of successor declarant</x:v>
      </x:c>
      <x:c r="H62" s="303" t="str">
        <x:v>The New Albany Company, Ohio general partnership</x:v>
      </x:c>
      <x:c r="I62" s="303" t="str">
        <x:v>The New Albany Company Limited Partnership, Delaware limited partnership</x:v>
      </x:c>
      <x:c r="J62" s="303" t="str">
        <x:v>Rocky Fork signs for outgoing partnership as general partner; LP becomes successor declarant.</x:v>
      </x:c>
      <x:c r="K62" s="303" t="str">
        <x:v>Transfers all declarant rights and obligations under the New Albany Country Club Community declaration to the Delaware LP.</x:v>
      </x:c>
      <x:c r="L62" s="303" t="str">
        <x:v>Financing context: Declarant-rights transfer, not financing or a fee deed.; stamp: transfer not necessary / conveyance tax exempt</x:v>
      </x:c>
      <x:c r="M62" s="315" t="str">
        <x:v>Declaration OR 16185 C14</x:v>
      </x:c>
      <x:c r="N62" s="315"/>
      <x:c r="O62" s="303" t="str">
        <x:v>https://franklin.oh.publicsearch.us/doc/123930221?department=RP</x:v>
      </x:c>
      <x:c r="P62" s="303" t="str">
        <x:v>image_visual_verified</x:v>
      </x:c>
      <x:c r="Q62" s="303" t="str">
        <x:v>Conveyance-tax/fee figures are not treated as sale price. Execution/effective date: 1992-12-01.</x:v>
      </x:c>
      <x:c r="R62" s="332" t="str">
        <x:f>IF(OR(ISNUMBER(SEARCH("zero public",P62)),ISNUMBER(SEARCH("unavailable",P62))),"Detail only","Image-backed")</x:f>
        <x:v>Image-backed</x:v>
      </x:c>
      <x:c r="S62" s="335" t="n">
        <x:f>IF(ISNUMBER(A62),YEAR(A62),VALUE(LEFT(A62,4)))</x:f>
        <x:v>1992</x:v>
      </x:c>
      <x:c r="T62" s="332" t="str">
        <x:f>IF(OR(ISNUMBER(SEARCH("Cherry",D62)),ISNUMBER(SEARCH("C-Wren",D62))),"Cherry / C-Wren / KG",IF(OR(ISNUMBER(SEARCH("Rocky Fork",D62)),ISNUMBER(SEARCH("N.A. Property",D62))),"Rocky / New Albany",IF(ISNUMBER(SEARCH("Morsham",D62)),"Morsham / Eastern",IF(ISNUMBER(SEARCH("Park Properties",D62)),"Park",IF(OR(ISNUMBER(SEARCH("H.H.D",D62)),ISNUMBER(SEARCH("Family Property Trust",D62))),"HHD / Trust","Other")))))</x:f>
        <x:v>Rocky / New Albany</x:v>
      </x:c>
      <x:c r="U62" s="332" t="str">
        <x:f>S62&amp;"|"&amp;T62</x:f>
        <x:v>1992|Rocky / New Albany</x:v>
      </x:c>
    </x:row>
    <x:row r="63" ht="58" customHeight="1">
      <x:c r="A63" s="312" t="n">
        <x:v>33946.5</x:v>
      </x:c>
      <x:c r="B63" s="315" t="str">
        <x:v>199212080242108</x:v>
      </x:c>
      <x:c r="C63" s="315" t="str">
        <x:v>123930222</x:v>
      </x:c>
      <x:c r="D63" s="303" t="str">
        <x:v>Rocky Fork Development / The New Albany Company</x:v>
      </x:c>
      <x:c r="E63" s="303" t="str">
        <x:v>New Albany Communities declaration</x:v>
      </x:c>
      <x:c r="F63" s="303"/>
      <x:c r="G63" s="303" t="str">
        <x:v>designation of successor declarant</x:v>
      </x:c>
      <x:c r="H63" s="303" t="str">
        <x:v>The New Albany Company, Ohio general partnership</x:v>
      </x:c>
      <x:c r="I63" s="303" t="str">
        <x:v>The New Albany Company Limited Partnership, Delaware limited partnership</x:v>
      </x:c>
      <x:c r="J63" s="303" t="str">
        <x:v>Rocky Fork signs for outgoing partnership as general partner; LP becomes successor declarant.</x:v>
      </x:c>
      <x:c r="K63" s="303" t="str">
        <x:v>Transfers all declarant rights and obligations under the New Albany Communities declarations to the Delaware LP.</x:v>
      </x:c>
      <x:c r="L63" s="303" t="str">
        <x:v>Financing context: Declarant-rights transfer, not financing or a fee deed.; stamp: transfer not necessary / conveyance tax exempt</x:v>
      </x:c>
      <x:c r="M63" s="315" t="str">
        <x:v>Franklin OR 16185 A01; Licking OR 356 p485</x:v>
      </x:c>
      <x:c r="N63" s="315"/>
      <x:c r="O63" s="303" t="str">
        <x:v>https://franklin.oh.publicsearch.us/doc/123930222?department=RP</x:v>
      </x:c>
      <x:c r="P63" s="303" t="str">
        <x:v>image_retrieved_ocr_reviewed</x:v>
      </x:c>
      <x:c r="Q63" s="303" t="str">
        <x:v>Conveyance-tax/fee figures are not treated as sale price. Execution/effective date: 1992-12-01.</x:v>
      </x:c>
      <x:c r="R63" s="332" t="str">
        <x:f>IF(OR(ISNUMBER(SEARCH("zero public",P63)),ISNUMBER(SEARCH("unavailable",P63))),"Detail only","Image-backed")</x:f>
        <x:v>Image-backed</x:v>
      </x:c>
      <x:c r="S63" s="335" t="n">
        <x:f>IF(ISNUMBER(A63),YEAR(A63),VALUE(LEFT(A63,4)))</x:f>
        <x:v>1992</x:v>
      </x:c>
      <x:c r="T63" s="332" t="str">
        <x:f>IF(OR(ISNUMBER(SEARCH("Cherry",D63)),ISNUMBER(SEARCH("C-Wren",D63))),"Cherry / C-Wren / KG",IF(OR(ISNUMBER(SEARCH("Rocky Fork",D63)),ISNUMBER(SEARCH("N.A. Property",D63))),"Rocky / New Albany",IF(ISNUMBER(SEARCH("Morsham",D63)),"Morsham / Eastern",IF(ISNUMBER(SEARCH("Park Properties",D63)),"Park",IF(OR(ISNUMBER(SEARCH("H.H.D",D63)),ISNUMBER(SEARCH("Family Property Trust",D63))),"HHD / Trust","Other")))))</x:f>
        <x:v>Rocky / New Albany</x:v>
      </x:c>
      <x:c r="U63" s="332" t="str">
        <x:f>S63&amp;"|"&amp;T63</x:f>
        <x:v>1992|Rocky / New Albany</x:v>
      </x:c>
    </x:row>
    <x:row r="64" ht="58" customHeight="1">
      <x:c r="A64" s="312" t="n">
        <x:v>33946.5</x:v>
      </x:c>
      <x:c r="B64" s="315" t="str">
        <x:v>199212080242109</x:v>
      </x:c>
      <x:c r="C64" s="315" t="str">
        <x:v>123930224</x:v>
      </x:c>
      <x:c r="D64" s="303" t="str">
        <x:v>Rocky Fork Development / The New Albany Company</x:v>
      </x:c>
      <x:c r="E64" s="303" t="str">
        <x:v>New Albany Community Authority declaration</x:v>
      </x:c>
      <x:c r="F64" s="303"/>
      <x:c r="G64" s="303" t="str">
        <x:v>designation of successor private developer</x:v>
      </x:c>
      <x:c r="H64" s="303" t="str">
        <x:v>The New Albany Company, Ohio general partnership</x:v>
      </x:c>
      <x:c r="I64" s="303" t="str">
        <x:v>The New Albany Company Limited Partnership, Delaware limited partnership</x:v>
      </x:c>
      <x:c r="J64" s="303" t="str">
        <x:v>Rocky Fork signs for outgoing partnership as general partner; LP becomes successor private developer.</x:v>
      </x:c>
      <x:c r="K64" s="303" t="str">
        <x:v>Transfers all private-developer rights and obligations under the New Albany Community Authority declaration to the Delaware LP.</x:v>
      </x:c>
      <x:c r="L64" s="303" t="str">
        <x:v>Financing context: Private-developer-rights transfer, not financing or a fee deed.; stamp: transfer not necessary / conveyance tax exempt</x:v>
      </x:c>
      <x:c r="M64" s="315" t="str">
        <x:v>Declaration OR 16999 C04</x:v>
      </x:c>
      <x:c r="N64" s="315"/>
      <x:c r="O64" s="303" t="str">
        <x:v>https://franklin.oh.publicsearch.us/doc/123930224?department=RP</x:v>
      </x:c>
      <x:c r="P64" s="303" t="str">
        <x:v>image_retrieved_ocr_reviewed</x:v>
      </x:c>
      <x:c r="Q64" s="303" t="str">
        <x:v>Conveyance-tax/fee figures are not treated as sale price. Execution/effective date: 1992-12-01.</x:v>
      </x:c>
      <x:c r="R64" s="332" t="str">
        <x:f>IF(OR(ISNUMBER(SEARCH("zero public",P64)),ISNUMBER(SEARCH("unavailable",P64))),"Detail only","Image-backed")</x:f>
        <x:v>Image-backed</x:v>
      </x:c>
      <x:c r="S64" s="335" t="n">
        <x:f>IF(ISNUMBER(A64),YEAR(A64),VALUE(LEFT(A64,4)))</x:f>
        <x:v>1992</x:v>
      </x:c>
      <x:c r="T64" s="332" t="str">
        <x:f>IF(OR(ISNUMBER(SEARCH("Cherry",D64)),ISNUMBER(SEARCH("C-Wren",D64))),"Cherry / C-Wren / KG",IF(OR(ISNUMBER(SEARCH("Rocky Fork",D64)),ISNUMBER(SEARCH("N.A. Property",D64))),"Rocky / New Albany",IF(ISNUMBER(SEARCH("Morsham",D64)),"Morsham / Eastern",IF(ISNUMBER(SEARCH("Park Properties",D64)),"Park",IF(OR(ISNUMBER(SEARCH("H.H.D",D64)),ISNUMBER(SEARCH("Family Property Trust",D64))),"HHD / Trust","Other")))))</x:f>
        <x:v>Rocky / New Albany</x:v>
      </x:c>
      <x:c r="U64" s="332" t="str">
        <x:f>S64&amp;"|"&amp;T64</x:f>
        <x:v>1992|Rocky / New Albany</x:v>
      </x:c>
    </x:row>
    <x:row r="65" ht="58" customHeight="1">
      <x:c r="A65" s="312" t="n">
        <x:v>33946.5</x:v>
      </x:c>
      <x:c r="B65" s="315" t="str">
        <x:v>199212080242110</x:v>
      </x:c>
      <x:c r="C65" s="315" t="str">
        <x:v>123930167</x:v>
      </x:c>
      <x:c r="D65" s="303" t="str">
        <x:v>Rocky Fork Development / The New Albany Company</x:v>
      </x:c>
      <x:c r="E65" s="303" t="str">
        <x:v>All Franklin County, Ohio real property owned by The New Albany Company</x:v>
      </x:c>
      <x:c r="F65" s="303" t="str">
        <x:v>all holdings; no legal descriptions or acreage stated</x:v>
      </x:c>
      <x:c r="G65" s="303" t="str">
        <x:v>confirmatory general-warranty deed</x:v>
      </x:c>
      <x:c r="H65" s="303" t="str">
        <x:v>The New Albany Company, Ohio general partnership</x:v>
      </x:c>
      <x:c r="I65" s="303" t="str">
        <x:v>The New Albany Company Limited Partnership, Delaware limited partnership</x:v>
      </x:c>
      <x:c r="J65" s="303" t="str">
        <x:v>Rocky Fork was a New Albany general partner before reorganization; became a limited partner effective 1992-12-01; Reorganized LP is “a continuation of, and in all respects and for all purposes the successor to” the Ohio partnership.</x:v>
      </x:c>
      <x:c r="K65" s="303" t="str">
        <x:v>Confirms the Delaware LP as fee-simple owner of all Franklin County real property owned by the Ohio partnership and as continuation/successor to all real and personal property.</x:v>
      </x:c>
      <x:c r="L65" s="303" t="str">
        <x:v>purposes described in deed; financing context: Organizational restructuring and asset succession, not a mortgage.; stamp: conveyance tax exempt; transfer not necessary</x:v>
      </x:c>
      <x:c r="M65" s="315"/>
      <x:c r="N65" s="315"/>
      <x:c r="O65" s="303" t="str">
        <x:v>https://franklin.oh.publicsearch.us/doc/123930167?department=RP</x:v>
      </x:c>
      <x:c r="P65" s="303" t="str">
        <x:v>image_visual_verified</x:v>
      </x:c>
      <x:c r="Q65" s="303" t="str">
        <x:v>This instrument transfers New Albany's holdings, not separately titled Rocky Fork property. Conveyance-tax/fee figures are not treated as sale price. Execution/effective date: 1992-12-01.</x:v>
      </x:c>
      <x:c r="R65" s="332" t="str">
        <x:f>IF(OR(ISNUMBER(SEARCH("zero public",P65)),ISNUMBER(SEARCH("unavailable",P65))),"Detail only","Image-backed")</x:f>
        <x:v>Image-backed</x:v>
      </x:c>
      <x:c r="S65" s="335" t="n">
        <x:f>IF(ISNUMBER(A65),YEAR(A65),VALUE(LEFT(A65,4)))</x:f>
        <x:v>1992</x:v>
      </x:c>
      <x:c r="T65" s="332" t="str">
        <x:f>IF(OR(ISNUMBER(SEARCH("Cherry",D65)),ISNUMBER(SEARCH("C-Wren",D65))),"Cherry / C-Wren / KG",IF(OR(ISNUMBER(SEARCH("Rocky Fork",D65)),ISNUMBER(SEARCH("N.A. Property",D65))),"Rocky / New Albany",IF(ISNUMBER(SEARCH("Morsham",D65)),"Morsham / Eastern",IF(ISNUMBER(SEARCH("Park Properties",D65)),"Park",IF(OR(ISNUMBER(SEARCH("H.H.D",D65)),ISNUMBER(SEARCH("Family Property Trust",D65))),"HHD / Trust","Other")))))</x:f>
        <x:v>Rocky / New Albany</x:v>
      </x:c>
      <x:c r="U65" s="332" t="str">
        <x:f>S65&amp;"|"&amp;T65</x:f>
        <x:v>1992|Rocky / New Albany</x:v>
      </x:c>
    </x:row>
    <x:row r="66" ht="58" customHeight="1">
      <x:c r="A66" s="312" t="n">
        <x:v>33956.5</x:v>
      </x:c>
      <x:c r="B66" s="315" t="str">
        <x:v>199212180247730</x:v>
      </x:c>
      <x:c r="C66" s="315" t="str">
        <x:v>123937735</x:v>
      </x:c>
      <x:c r="D66" s="303" t="str">
        <x:v>Rocky Fork Development / The New Albany Company</x:v>
      </x:c>
      <x:c r="E66" s="303" t="str">
        <x:v>New Albany Farms declaration</x:v>
      </x:c>
      <x:c r="F66" s="303"/>
      <x:c r="G66" s="303" t="str">
        <x:v>designation of successor declarant</x:v>
      </x:c>
      <x:c r="H66" s="303" t="str">
        <x:v>The New Albany Company, Ohio general partnership</x:v>
      </x:c>
      <x:c r="I66" s="303" t="str">
        <x:v>The New Albany Company Limited Partnership, Delaware limited partnership</x:v>
      </x:c>
      <x:c r="J66" s="303" t="str">
        <x:v>Rocky Fork signs for outgoing partnership as general partner; LP becomes successor declarant.</x:v>
      </x:c>
      <x:c r="K66" s="303" t="str">
        <x:v>Transfers all declarant rights and obligations under the New Albany Farms declaration to the Delaware LP.</x:v>
      </x:c>
      <x:c r="L66" s="303" t="str">
        <x:v>Financing context: Declarant-rights transfer, not financing or a fee deed.</x:v>
      </x:c>
      <x:c r="M66" s="315" t="str">
        <x:v>Declaration OR 17519 A02</x:v>
      </x:c>
      <x:c r="N66" s="315"/>
      <x:c r="O66" s="303" t="str">
        <x:v>https://franklin.oh.publicsearch.us/doc/123937735?department=RP</x:v>
      </x:c>
      <x:c r="P66" s="303" t="str">
        <x:v>image_retrieved_ocr_reviewed</x:v>
      </x:c>
      <x:c r="Q66" s="303" t="str">
        <x:v>Execution/effective date: 1992-12-01.</x:v>
      </x:c>
      <x:c r="R66" s="332" t="str">
        <x:f>IF(OR(ISNUMBER(SEARCH("zero public",P66)),ISNUMBER(SEARCH("unavailable",P66))),"Detail only","Image-backed")</x:f>
        <x:v>Image-backed</x:v>
      </x:c>
      <x:c r="S66" s="335" t="n">
        <x:f>IF(ISNUMBER(A66),YEAR(A66),VALUE(LEFT(A66,4)))</x:f>
        <x:v>1992</x:v>
      </x:c>
      <x:c r="T66" s="332" t="str">
        <x:f>IF(OR(ISNUMBER(SEARCH("Cherry",D66)),ISNUMBER(SEARCH("C-Wren",D66))),"Cherry / C-Wren / KG",IF(OR(ISNUMBER(SEARCH("Rocky Fork",D66)),ISNUMBER(SEARCH("N.A. Property",D66))),"Rocky / New Albany",IF(ISNUMBER(SEARCH("Morsham",D66)),"Morsham / Eastern",IF(ISNUMBER(SEARCH("Park Properties",D66)),"Park",IF(OR(ISNUMBER(SEARCH("H.H.D",D66)),ISNUMBER(SEARCH("Family Property Trust",D66))),"HHD / Trust","Other")))))</x:f>
        <x:v>Rocky / New Albany</x:v>
      </x:c>
      <x:c r="U66" s="332" t="str">
        <x:f>S66&amp;"|"&amp;T66</x:f>
        <x:v>1992|Rocky / New Albany</x:v>
      </x:c>
    </x:row>
    <x:row r="67" ht="58" customHeight="1">
      <x:c r="A67" s="312" t="n">
        <x:v>33956.5</x:v>
      </x:c>
      <x:c r="B67" s="315" t="str">
        <x:v>199212180247731</x:v>
      </x:c>
      <x:c r="C67" s="315" t="str">
        <x:v>123937752</x:v>
      </x:c>
      <x:c r="D67" s="303" t="str">
        <x:v>Rocky Fork Development / The New Albany Company</x:v>
      </x:c>
      <x:c r="E67" s="303" t="str">
        <x:v>Edge of Woods declaration</x:v>
      </x:c>
      <x:c r="F67" s="303"/>
      <x:c r="G67" s="303" t="str">
        <x:v>designation of successor declarant</x:v>
      </x:c>
      <x:c r="H67" s="303" t="str">
        <x:v>The New Albany Company, Ohio general partnership</x:v>
      </x:c>
      <x:c r="I67" s="303" t="str">
        <x:v>The New Albany Company Limited Partnership, Delaware limited partnership</x:v>
      </x:c>
      <x:c r="J67" s="303" t="str">
        <x:v>Rocky Fork signs for outgoing partnership as general partner; LP becomes successor declarant.</x:v>
      </x:c>
      <x:c r="K67" s="303" t="str">
        <x:v>Transfers all declarant rights and obligations under the Edge of Woods declaration to the Delaware LP.</x:v>
      </x:c>
      <x:c r="L67" s="303" t="str">
        <x:v>Financing context: Declarant-rights transfer, not financing or a fee deed.</x:v>
      </x:c>
      <x:c r="M67" s="315" t="str">
        <x:v>Declaration OR 20668 E20</x:v>
      </x:c>
      <x:c r="N67" s="315"/>
      <x:c r="O67" s="303" t="str">
        <x:v>https://franklin.oh.publicsearch.us/doc/123937752?department=RP</x:v>
      </x:c>
      <x:c r="P67" s="303" t="str">
        <x:v>image_retrieved_ocr_reviewed</x:v>
      </x:c>
      <x:c r="Q67" s="303" t="str">
        <x:v>Execution/effective date: 1992-12-01.</x:v>
      </x:c>
      <x:c r="R67" s="332" t="str">
        <x:f>IF(OR(ISNUMBER(SEARCH("zero public",P67)),ISNUMBER(SEARCH("unavailable",P67))),"Detail only","Image-backed")</x:f>
        <x:v>Image-backed</x:v>
      </x:c>
      <x:c r="S67" s="335" t="n">
        <x:f>IF(ISNUMBER(A67),YEAR(A67),VALUE(LEFT(A67,4)))</x:f>
        <x:v>1992</x:v>
      </x:c>
      <x:c r="T67" s="332" t="str">
        <x:f>IF(OR(ISNUMBER(SEARCH("Cherry",D67)),ISNUMBER(SEARCH("C-Wren",D67))),"Cherry / C-Wren / KG",IF(OR(ISNUMBER(SEARCH("Rocky Fork",D67)),ISNUMBER(SEARCH("N.A. Property",D67))),"Rocky / New Albany",IF(ISNUMBER(SEARCH("Morsham",D67)),"Morsham / Eastern",IF(ISNUMBER(SEARCH("Park Properties",D67)),"Park",IF(OR(ISNUMBER(SEARCH("H.H.D",D67)),ISNUMBER(SEARCH("Family Property Trust",D67))),"HHD / Trust","Other")))))</x:f>
        <x:v>Rocky / New Albany</x:v>
      </x:c>
      <x:c r="U67" s="332" t="str">
        <x:f>S67&amp;"|"&amp;T67</x:f>
        <x:v>1992|Rocky / New Albany</x:v>
      </x:c>
    </x:row>
    <x:row r="68" ht="58" customHeight="1">
      <x:c r="A68" s="312" t="n">
        <x:v>33966.5</x:v>
      </x:c>
      <x:c r="B68" s="315" t="str">
        <x:v>199212280252097</x:v>
      </x:c>
      <x:c r="C68" s="315" t="str">
        <x:v>123943727</x:v>
      </x:c>
      <x:c r="D68" s="303" t="str">
        <x:v>N.A. Property / New Albany LP</x:v>
      </x:c>
      <x:c r="E68" s="303" t="str">
        <x:v>No parcel; The New Albany Company Limited Partnership</x:v>
      </x:c>
      <x:c r="F68" s="303"/>
      <x:c r="G68" s="303" t="str">
        <x:v>Amended foreign limited-partnership registration</x:v>
      </x:c>
      <x:c r="H68" s="303" t="str">
        <x:v>Rocky Fork Development Corp. (prior limited-partner listing)</x:v>
      </x:c>
      <x:c r="I68" s="303" t="str">
        <x:v>Leslie H. Wexner (new listed limited partner)</x:v>
      </x:c>
      <x:c r="J68" s="303" t="str">
        <x:v>N.A. Property and Community Projects remain general partners; Wexner is listed limited partner; Epstein signs as N.A. Property president.</x:v>
      </x:c>
      <x:c r="K68" s="303" t="str">
        <x:v>Changes recorded partner roster; no parcel conveyance.</x:v>
      </x:c>
      <x:c r="L68" s="303"/>
      <x:c r="M68" s="315" t="str">
        <x:v>199212020237724 / OR 21189 I20</x:v>
      </x:c>
      <x:c r="N68" s="315"/>
      <x:c r="O68" s="303" t="str">
        <x:v>https://franklin.oh.publicsearch.us/doc/123943727?department=RP</x:v>
      </x:c>
      <x:c r="P68" s="303" t="str">
        <x:v>Primary recorder images retrieved; OCR reviewed; material pages visually inspected.</x:v>
      </x:c>
      <x:c r="Q68" s="303" t="str">
        <x:v>Partner status and officer execution do not establish personal or beneficial title to partnership land.</x:v>
      </x:c>
      <x:c r="R68" s="332" t="str">
        <x:f>IF(OR(ISNUMBER(SEARCH("zero public",P68)),ISNUMBER(SEARCH("unavailable",P68))),"Detail only","Image-backed")</x:f>
        <x:v>Image-backed</x:v>
      </x:c>
      <x:c r="S68" s="335" t="n">
        <x:f>IF(ISNUMBER(A68),YEAR(A68),VALUE(LEFT(A68,4)))</x:f>
        <x:v>1992</x:v>
      </x:c>
      <x:c r="T68" s="332" t="str">
        <x:f>IF(OR(ISNUMBER(SEARCH("Cherry",D68)),ISNUMBER(SEARCH("C-Wren",D68))),"Cherry / C-Wren / KG",IF(OR(ISNUMBER(SEARCH("Rocky Fork",D68)),ISNUMBER(SEARCH("N.A. Property",D68))),"Rocky / New Albany",IF(ISNUMBER(SEARCH("Morsham",D68)),"Morsham / Eastern",IF(ISNUMBER(SEARCH("Park Properties",D68)),"Park",IF(OR(ISNUMBER(SEARCH("H.H.D",D68)),ISNUMBER(SEARCH("Family Property Trust",D68))),"HHD / Trust","Other")))))</x:f>
        <x:v>Rocky / New Albany</x:v>
      </x:c>
      <x:c r="U68" s="332" t="str">
        <x:f>S68&amp;"|"&amp;T68</x:f>
        <x:v>1992|Rocky / New Albany</x:v>
      </x:c>
    </x:row>
    <x:row r="69" ht="58" customHeight="1">
      <x:c r="A69" s="312" t="n">
        <x:v>33967.5</x:v>
      </x:c>
      <x:c r="B69" s="315" t="str">
        <x:v>199212290043190</x:v>
      </x:c>
      <x:c r="C69" s="315" t="str">
        <x:v>123944604</x:v>
      </x:c>
      <x:c r="D69" s="303" t="str">
        <x:v>Park Properties / C.H. Development Group</x:v>
      </x:c>
      <x:c r="E69" s="303" t="str">
        <x:v>No legal description in official detail; remark/address: 5336 London Groveport Road, Orient, Ohio</x:v>
      </x:c>
      <x:c r="F69" s="303"/>
      <x:c r="G69" s="303" t="str">
        <x:v>Financing Statement (FS)</x:v>
      </x:c>
      <x:c r="H69" s="303" t="str">
        <x:v>Richard Brungarth; Mary Brungarth</x:v>
      </x:c>
      <x:c r="I69" s="303" t="str">
        <x:v>No secured party indexed</x:v>
      </x:c>
      <x:c r="J69" s="303" t="str">
        <x:v>Portal-only related instrument reached through a later marginal reference; Park is not indexed</x:v>
      </x:c>
      <x:c r="K69" s="303" t="str">
        <x:v>Portal-only UCC/fixture record is marginally linked to the Park family; content and secured party remain unresolved.</x:v>
      </x:c>
      <x:c r="L69" s="303" t="str">
        <x:v>None stated; Not applicable; UCC filing; Unknown; public image unavailable</x:v>
      </x:c>
      <x:c r="M69" s="315" t="str">
        <x:v>None shown</x:v>
      </x:c>
      <x:c r="N69" s="315" t="str">
        <x:v>199309080030754</x:v>
      </x:c>
      <x:c r="O69" s="303" t="str">
        <x:v>https://franklin.oh.publicsearch.us/doc/123944604?department=RP</x:v>
      </x:c>
      <x:c r="P69" s="303" t="str">
        <x:v>Official detail only; zero public page URLs and no OCR/image</x:v>
      </x:c>
      <x:c r="Q69" s="303" t="str">
        <x:v>Recorded seven days after Park's dissolution, but Park is neither an indexed party nor named in available text. The later release marginally links this filing to F-08/F-13 records; that metadata does not establish a Park lien, assignee, or successor.</x:v>
      </x:c>
      <x:c r="R69" s="332" t="str">
        <x:f>IF(OR(ISNUMBER(SEARCH("zero public",P69)),ISNUMBER(SEARCH("unavailable",P69))),"Detail only","Image-backed")</x:f>
        <x:v>Detail only</x:v>
      </x:c>
      <x:c r="S69" s="335" t="n">
        <x:f>IF(ISNUMBER(A69),YEAR(A69),VALUE(LEFT(A69,4)))</x:f>
        <x:v>1992</x:v>
      </x:c>
      <x:c r="T69" s="332" t="str">
        <x:f>IF(OR(ISNUMBER(SEARCH("Cherry",D69)),ISNUMBER(SEARCH("C-Wren",D69))),"Cherry / C-Wren / KG",IF(OR(ISNUMBER(SEARCH("Rocky Fork",D69)),ISNUMBER(SEARCH("N.A. Property",D69))),"Rocky / New Albany",IF(ISNUMBER(SEARCH("Morsham",D69)),"Morsham / Eastern",IF(ISNUMBER(SEARCH("Park Properties",D69)),"Park",IF(OR(ISNUMBER(SEARCH("H.H.D",D69)),ISNUMBER(SEARCH("Family Property Trust",D69))),"HHD / Trust","Other")))))</x:f>
        <x:v>Park</x:v>
      </x:c>
      <x:c r="U69" s="332" t="str">
        <x:f>S69&amp;"|"&amp;T69</x:f>
        <x:v>1992|Park</x:v>
      </x:c>
    </x:row>
    <x:row r="70" ht="58" customHeight="1">
      <x:c r="A70" s="312" t="n">
        <x:v>34102.5</x:v>
      </x:c>
      <x:c r="B70" s="315" t="str">
        <x:v>199305130127826</x:v>
      </x:c>
      <x:c r="C70" s="315" t="str">
        <x:v>124045815</x:v>
      </x:c>
      <x:c r="D70" s="303" t="str">
        <x:v>C-Wren Investment / KG Partners</x:v>
      </x:c>
      <x:c r="E70" s="303" t="str">
        <x:v>Morse Road right-of-way out of KG's OR 17785 A12 tract</x:v>
      </x:c>
      <x:c r="F70" s="303" t="str">
        <x:v>1.147 acres out of 33.664-acre tract</x:v>
      </x:c>
      <x:c r="G70" s="303" t="str">
        <x:v>Quitclaim deed with reserved ingress/egress easement</x:v>
      </x:c>
      <x:c r="H70" s="303" t="str">
        <x:v>KG Partners</x:v>
      </x:c>
      <x:c r="I70" s="303" t="str">
        <x:v>City of Columbus</x:v>
      </x:c>
      <x:c r="J70" s="303" t="str">
        <x:v>K-L Partners and C-Wren execute as KG partners; Epstein signs/acknowledges as C-Wren vice president.</x:v>
      </x:c>
      <x:c r="K70" s="303" t="str">
        <x:v>Conveys the right-of-way strip to Columbus while KG reserves perpetual ingress/egress over it.</x:v>
      </x:c>
      <x:c r="L70" s="303" t="str">
        <x:v>$1 and other good and valuable consideration.</x:v>
      </x:c>
      <x:c r="M70" s="315" t="str">
        <x:v>OR 17785 A12 / Cherry Bottom deed 199110040159339</x:v>
      </x:c>
      <x:c r="N70" s="315"/>
      <x:c r="O70" s="303" t="str">
        <x:v>https://franklin.oh.publicsearch.us/doc/124045815?department=RP</x:v>
      </x:c>
      <x:c r="P70" s="303" t="str">
        <x:v>Primary recorder images retrieved; OCR reviewed; material pages visually inspected.</x:v>
      </x:c>
      <x:c r="Q70" s="303" t="str">
        <x:v>Officer signature is corporate-capacity evidence only. Nominal stated consideration is not treated as sale price.</x:v>
      </x:c>
      <x:c r="R70" s="332" t="str">
        <x:f>IF(OR(ISNUMBER(SEARCH("zero public",P70)),ISNUMBER(SEARCH("unavailable",P70))),"Detail only","Image-backed")</x:f>
        <x:v>Image-backed</x:v>
      </x:c>
      <x:c r="S70" s="335" t="n">
        <x:f>IF(ISNUMBER(A70),YEAR(A70),VALUE(LEFT(A70,4)))</x:f>
        <x:v>1993</x:v>
      </x:c>
      <x:c r="T70" s="332" t="str">
        <x:f>IF(OR(ISNUMBER(SEARCH("Cherry",D70)),ISNUMBER(SEARCH("C-Wren",D70))),"Cherry / C-Wren / KG",IF(OR(ISNUMBER(SEARCH("Rocky Fork",D70)),ISNUMBER(SEARCH("N.A. Property",D70))),"Rocky / New Albany",IF(ISNUMBER(SEARCH("Morsham",D70)),"Morsham / Eastern",IF(ISNUMBER(SEARCH("Park Properties",D70)),"Park",IF(OR(ISNUMBER(SEARCH("H.H.D",D70)),ISNUMBER(SEARCH("Family Property Trust",D70))),"HHD / Trust","Other")))))</x:f>
        <x:v>Cherry / C-Wren / KG</x:v>
      </x:c>
      <x:c r="U70" s="332" t="str">
        <x:f>S70&amp;"|"&amp;T70</x:f>
        <x:v>1993|Cherry / C-Wren / KG</x:v>
      </x:c>
    </x:row>
    <x:row r="71" ht="58" customHeight="1">
      <x:c r="A71" s="312" t="str">
        <x:v>1993-06</x:v>
      </x:c>
      <x:c r="B71" s="315" t="str">
        <x:v>190001010010734</x:v>
      </x:c>
      <x:c r="C71" s="315" t="str">
        <x:v>131773017</x:v>
      </x:c>
      <x:c r="D71" s="303" t="str">
        <x:v>C-Wren Investment / KG Partners</x:v>
      </x:c>
      <x:c r="E71" s="303" t="str">
        <x:v>Morse Road and Easements Dedication Plat, Plat Book 77</x:v>
      </x:c>
      <x:c r="F71" s="303" t="str">
        <x:v>32.517 acres net out of original 33.664-acre KG tract</x:v>
      </x:c>
      <x:c r="G71" s="303" t="str">
        <x:v>Road/easement dedication plat</x:v>
      </x:c>
      <x:c r="H71" s="303" t="str">
        <x:v>KG Partners</x:v>
      </x:c>
      <x:c r="I71" s="303" t="str">
        <x:v>Public road/easement dedication</x:v>
      </x:c>
      <x:c r="J71" s="303" t="str">
        <x:v>KG is recited owner/dedicator.</x:v>
      </x:c>
      <x:c r="K71" s="303" t="str">
        <x:v>Dedicates road/easement rights shown on the plat; no whole-tract fee transfer.</x:v>
      </x:c>
      <x:c r="L71" s="303"/>
      <x:c r="M71" s="315" t="str">
        <x:v>OR 17785 A12</x:v>
      </x:c>
      <x:c r="N71" s="315"/>
      <x:c r="O71" s="303" t="str">
        <x:v>https://franklin.oh.publicsearch.us/doc/131773017?department=RP</x:v>
      </x:c>
      <x:c r="P71" s="303" t="str">
        <x:v>Primary recorder plat images retrieved and OCR reviewed.</x:v>
      </x:c>
      <x:c r="Q71" s="303" t="str">
        <x:v>Portal's 1900 instrument date is a placeholder. The face is a June 1993 plat, but the exact day is not confidently transcribed here; the two records appear to be original/amended plat versions and should not be double-counted as separate acreage.</x:v>
      </x:c>
      <x:c r="R71" s="332" t="str">
        <x:f>IF(OR(ISNUMBER(SEARCH("zero public",P71)),ISNUMBER(SEARCH("unavailable",P71))),"Detail only","Image-backed")</x:f>
        <x:v>Image-backed</x:v>
      </x:c>
      <x:c r="S71" s="335" t="n">
        <x:f>IF(ISNUMBER(A71),YEAR(A71),VALUE(LEFT(A71,4)))</x:f>
        <x:v>1993</x:v>
      </x:c>
      <x:c r="T71" s="332" t="str">
        <x:f>IF(OR(ISNUMBER(SEARCH("Cherry",D71)),ISNUMBER(SEARCH("C-Wren",D71))),"Cherry / C-Wren / KG",IF(OR(ISNUMBER(SEARCH("Rocky Fork",D71)),ISNUMBER(SEARCH("N.A. Property",D71))),"Rocky / New Albany",IF(ISNUMBER(SEARCH("Morsham",D71)),"Morsham / Eastern",IF(ISNUMBER(SEARCH("Park Properties",D71)),"Park",IF(OR(ISNUMBER(SEARCH("H.H.D",D71)),ISNUMBER(SEARCH("Family Property Trust",D71))),"HHD / Trust","Other")))))</x:f>
        <x:v>Cherry / C-Wren / KG</x:v>
      </x:c>
      <x:c r="U71" s="332" t="str">
        <x:f>S71&amp;"|"&amp;T71</x:f>
        <x:v>1993|Cherry / C-Wren / KG</x:v>
      </x:c>
    </x:row>
    <x:row r="72" ht="58" customHeight="1">
      <x:c r="A72" s="312" t="str">
        <x:v>1993-06</x:v>
      </x:c>
      <x:c r="B72" s="315" t="str">
        <x:v>190001010010736</x:v>
      </x:c>
      <x:c r="C72" s="315" t="str">
        <x:v>131773021</x:v>
      </x:c>
      <x:c r="D72" s="303" t="str">
        <x:v>C-Wren Investment / KG Partners</x:v>
      </x:c>
      <x:c r="E72" s="303" t="str">
        <x:v>Morse Road and Easements Dedication Plat, Plat Book 77</x:v>
      </x:c>
      <x:c r="F72" s="303" t="str">
        <x:v>32.517 acres net out of original 33.664-acre KG tract</x:v>
      </x:c>
      <x:c r="G72" s="303" t="str">
        <x:v>Road/easement dedication plat</x:v>
      </x:c>
      <x:c r="H72" s="303" t="str">
        <x:v>KG Partners</x:v>
      </x:c>
      <x:c r="I72" s="303" t="str">
        <x:v>Public road/easement dedication</x:v>
      </x:c>
      <x:c r="J72" s="303" t="str">
        <x:v>KG is recited owner/dedicator.</x:v>
      </x:c>
      <x:c r="K72" s="303" t="str">
        <x:v>Dedicates road/easement rights shown on the plat; no whole-tract fee transfer.</x:v>
      </x:c>
      <x:c r="L72" s="303"/>
      <x:c r="M72" s="315" t="str">
        <x:v>OR 17785 A12</x:v>
      </x:c>
      <x:c r="N72" s="315"/>
      <x:c r="O72" s="303" t="str">
        <x:v>https://franklin.oh.publicsearch.us/doc/131773021?department=RP</x:v>
      </x:c>
      <x:c r="P72" s="303" t="str">
        <x:v>Primary recorder plat images retrieved and OCR reviewed.</x:v>
      </x:c>
      <x:c r="Q72" s="303" t="str">
        <x:v>Portal's 1900 instrument date is a placeholder. The face is a June 1993 plat, but the exact day is not confidently transcribed here; the two records appear to be original/amended plat versions and should not be double-counted as separate acreage.</x:v>
      </x:c>
      <x:c r="R72" s="332" t="str">
        <x:f>IF(OR(ISNUMBER(SEARCH("zero public",P72)),ISNUMBER(SEARCH("unavailable",P72))),"Detail only","Image-backed")</x:f>
        <x:v>Image-backed</x:v>
      </x:c>
      <x:c r="S72" s="335" t="n">
        <x:f>IF(ISNUMBER(A72),YEAR(A72),VALUE(LEFT(A72,4)))</x:f>
        <x:v>1993</x:v>
      </x:c>
      <x:c r="T72" s="332" t="str">
        <x:f>IF(OR(ISNUMBER(SEARCH("Cherry",D72)),ISNUMBER(SEARCH("C-Wren",D72))),"Cherry / C-Wren / KG",IF(OR(ISNUMBER(SEARCH("Rocky Fork",D72)),ISNUMBER(SEARCH("N.A. Property",D72))),"Rocky / New Albany",IF(ISNUMBER(SEARCH("Morsham",D72)),"Morsham / Eastern",IF(ISNUMBER(SEARCH("Park Properties",D72)),"Park",IF(OR(ISNUMBER(SEARCH("H.H.D",D72)),ISNUMBER(SEARCH("Family Property Trust",D72))),"HHD / Trust","Other")))))</x:f>
        <x:v>Cherry / C-Wren / KG</x:v>
      </x:c>
      <x:c r="U72" s="332" t="str">
        <x:f>S72&amp;"|"&amp;T72</x:f>
        <x:v>1993|Cherry / C-Wren / KG</x:v>
      </x:c>
    </x:row>
    <x:row r="73" ht="58" customHeight="1">
      <x:c r="A73" s="312" t="n">
        <x:v>34142.5</x:v>
      </x:c>
      <x:c r="B73" s="315" t="str">
        <x:v>199306220154512</x:v>
      </x:c>
      <x:c r="C73" s="315" t="str">
        <x:v>124077599</x:v>
      </x:c>
      <x:c r="D73" s="303" t="str">
        <x:v>Park Properties — non-corporate collision</x:v>
      </x:c>
      <x:c r="E73" s="303" t="str">
        <x:v>2440 East Main Street, Bexley/Columbus, Ohio; free-standing building of approximately 4,000 square feet</x:v>
      </x:c>
      <x:c r="F73" s="303" t="str">
        <x:v>4,000 square feet</x:v>
      </x:c>
      <x:c r="G73" s="303" t="str">
        <x:v>Memorandum of Lease (LE)</x:v>
      </x:c>
      <x:c r="H73" s="303" t="str">
        <x:v>William Goldberger and Marcia Goldberger, Ohio residents d/b/a Park Properties</x:v>
      </x:c>
      <x:c r="I73" s="303" t="str">
        <x:v>a'Salon Inc., Ohio corporation</x:v>
      </x:c>
      <x:c r="J73" s="303" t="str">
        <x:v>Image-verified exact-name collision; not the Ohio corporation on the instrument's face</x:v>
      </x:c>
      <x:c r="K73" s="303" t="str">
        <x:v>Non-corporate name collision; creates a leasehold unrelated to Park Properties, Inc.</x:v>
      </x:c>
      <x:c r="L73" s="303" t="str">
        <x:v>None stated; Not applicable; lease; Lease term 1993-08-01 through 2003-12-31; three five-year renewal options</x:v>
      </x:c>
      <x:c r="M73" s="315" t="str">
        <x:v>Title reference ORV 10966, page J12</x:v>
      </x:c>
      <x:c r="N73" s="315" t="str">
        <x:v>None identified</x:v>
      </x:c>
      <x:c r="O73" s="303" t="str">
        <x:v>https://franklin.oh.publicsearch.us/doc/124077599?department=RP</x:v>
      </x:c>
      <x:c r="P73" s="303" t="str">
        <x:v>Official index plus five public page images; OCR and image review; existing verified finding 14627</x:v>
      </x:c>
      <x:c r="Q73" s="303" t="str">
        <x:v>Do not use this post-dissolution lease as evidence of the Epstein/Wexner-linked Park Properties, Inc.; the image expressly names two individuals doing business as Park Properties.</x:v>
      </x:c>
      <x:c r="R73" s="332" t="str">
        <x:f>IF(OR(ISNUMBER(SEARCH("zero public",P73)),ISNUMBER(SEARCH("unavailable",P73))),"Detail only","Image-backed")</x:f>
        <x:v>Image-backed</x:v>
      </x:c>
      <x:c r="S73" s="335" t="n">
        <x:f>IF(ISNUMBER(A73),YEAR(A73),VALUE(LEFT(A73,4)))</x:f>
        <x:v>1993</x:v>
      </x:c>
      <x:c r="T73" s="332" t="str">
        <x:f>IF(OR(ISNUMBER(SEARCH("Cherry",D73)),ISNUMBER(SEARCH("C-Wren",D73))),"Cherry / C-Wren / KG",IF(OR(ISNUMBER(SEARCH("Rocky Fork",D73)),ISNUMBER(SEARCH("N.A. Property",D73))),"Rocky / New Albany",IF(ISNUMBER(SEARCH("Morsham",D73)),"Morsham / Eastern",IF(ISNUMBER(SEARCH("Park Properties",D73)),"Park",IF(OR(ISNUMBER(SEARCH("H.H.D",D73)),ISNUMBER(SEARCH("Family Property Trust",D73))),"HHD / Trust","Other")))))</x:f>
        <x:v>Park</x:v>
      </x:c>
      <x:c r="U73" s="332" t="str">
        <x:f>S73&amp;"|"&amp;T73</x:f>
        <x:v>1993|Park</x:v>
      </x:c>
    </x:row>
    <x:row r="74" ht="58" customHeight="1">
      <x:c r="A74" s="312" t="n">
        <x:v>34159.5</x:v>
      </x:c>
      <x:c r="B74" s="315" t="str">
        <x:v>199307090167426</x:v>
      </x:c>
      <x:c r="C74" s="315" t="str">
        <x:v>124092701</x:v>
      </x:c>
      <x:c r="D74" s="303" t="str">
        <x:v>C-Wren Investment / KG Partners</x:v>
      </x:c>
      <x:c r="E74" s="303" t="str">
        <x:v>KG Morse Road / Christopher Wren tract</x:v>
      </x:c>
      <x:c r="F74" s="303" t="str">
        <x:v>33.664 acres gross less 1.147-acre right-of-way; 32.517 net usable</x:v>
      </x:c>
      <x:c r="G74" s="303" t="str">
        <x:v>Special warranty deed</x:v>
      </x:c>
      <x:c r="H74" s="303" t="str">
        <x:v>KG Partners</x:v>
      </x:c>
      <x:c r="I74" s="303" t="str">
        <x:v>Christopher Wren Apartments Limited Partnership</x:v>
      </x:c>
      <x:c r="J74" s="303" t="str">
        <x:v>KG is fee grantor; K-L Partners signs as KG general partner.</x:v>
      </x:c>
      <x:c r="K74" s="303" t="str">
        <x:v>Conveys the KG tract and improvements to the apartment limited partnership.</x:v>
      </x:c>
      <x:c r="L74" s="303" t="str">
        <x:v>$10 and other good and valuable consideration.</x:v>
      </x:c>
      <x:c r="M74" s="315" t="str">
        <x:v>OR 17785 A12; right-of-way deed 199305130127826</x:v>
      </x:c>
      <x:c r="N74" s="315" t="str">
        <x:v>Bank One release 199307120168458; Cherry Bottom release 199307120168459; financing-statement releases 199307130023483, 199307130023484, and 199307130169303</x:v>
      </x:c>
      <x:c r="O74" s="303" t="str">
        <x:v>https://franklin.oh.publicsearch.us/doc/124092701?department=RP</x:v>
      </x:c>
      <x:c r="P74" s="303" t="str">
        <x:v>Primary recorder images retrieved; OCR reviewed; material pages visually inspected.</x:v>
      </x:c>
      <x:c r="Q74" s="303" t="str">
        <x:v>Nominal stated consideration is not treated as sale price.</x:v>
      </x:c>
      <x:c r="R74" s="332" t="str">
        <x:f>IF(OR(ISNUMBER(SEARCH("zero public",P74)),ISNUMBER(SEARCH("unavailable",P74))),"Detail only","Image-backed")</x:f>
        <x:v>Image-backed</x:v>
      </x:c>
      <x:c r="S74" s="335" t="n">
        <x:f>IF(ISNUMBER(A74),YEAR(A74),VALUE(LEFT(A74,4)))</x:f>
        <x:v>1993</x:v>
      </x:c>
      <x:c r="T74" s="332" t="str">
        <x:f>IF(OR(ISNUMBER(SEARCH("Cherry",D74)),ISNUMBER(SEARCH("C-Wren",D74))),"Cherry / C-Wren / KG",IF(OR(ISNUMBER(SEARCH("Rocky Fork",D74)),ISNUMBER(SEARCH("N.A. Property",D74))),"Rocky / New Albany",IF(ISNUMBER(SEARCH("Morsham",D74)),"Morsham / Eastern",IF(ISNUMBER(SEARCH("Park Properties",D74)),"Park",IF(OR(ISNUMBER(SEARCH("H.H.D",D74)),ISNUMBER(SEARCH("Family Property Trust",D74))),"HHD / Trust","Other")))))</x:f>
        <x:v>Cherry / C-Wren / KG</x:v>
      </x:c>
      <x:c r="U74" s="332" t="str">
        <x:f>S74&amp;"|"&amp;T74</x:f>
        <x:v>1993|Cherry / C-Wren / KG</x:v>
      </x:c>
    </x:row>
    <x:row r="75" ht="58" customHeight="1">
      <x:c r="A75" s="312" t="n">
        <x:v>34159.5</x:v>
      </x:c>
      <x:c r="B75" s="315" t="str">
        <x:v>199307090167605</x:v>
      </x:c>
      <x:c r="C75" s="315" t="str">
        <x:v>124092768</x:v>
      </x:c>
      <x:c r="D75" s="303" t="str">
        <x:v>Cherry Bottom Properties / Investors</x:v>
      </x:c>
      <x:c r="E75" s="303" t="str">
        <x:v>Permanent storm-sewer easement over part of a 6.302-acre tract north of Morse Road and east of Cherry Bottom Road; easement contains 3,806.5 square feet; acreage/area: 0.0874 easement area; underlying tract 6.302</x:v>
      </x:c>
      <x:c r="F75" s="303" t="str">
        <x:v>6.302 acres; 3,806.5 square feet</x:v>
      </x:c>
      <x:c r="G75" s="303" t="str">
        <x:v>DEED OF EASEMENT</x:v>
      </x:c>
      <x:c r="H75" s="303" t="str">
        <x:v>Thomas H. Lurie, a married man; Cherry Bottom Properties, Inc.; Nancy N. Lurie joins in execution/dower acknowledgment</x:v>
      </x:c>
      <x:c r="I75" s="303" t="str">
        <x:v>City of Columbus, Ohio, a municipal corporation</x:v>
      </x:c>
      <x:c r="J75" s="303" t="str">
        <x:v>Cherry Bottom Properties, Inc. and the Luries execute as direct grantors; Nancy N. Lurie also joins for dower. No successor-by-merger recital.</x:v>
      </x:c>
      <x:c r="K75" s="303" t="str">
        <x:v>Legal description says the 6.302-acre tract was held 80% by Cherry Bottom Development Co. No. 4 under OR 11254A01/A07 and 20% by Thomas H. Lurie under OR 11253J16.</x:v>
      </x:c>
      <x:c r="L75" s="303" t="str">
        <x:v>Document face: $1 and other good and valuable consideration; Recorder/index tax or amount: Transfer-exempt</x:v>
      </x:c>
      <x:c r="M75" s="315" t="str">
        <x:v>Prior: OR 11254A01; OR 11254A07; OR 11253J16; next/marginal: None stated</x:v>
      </x:c>
      <x:c r="N75" s="315" t="str">
        <x:v>next/marginal None stated</x:v>
      </x:c>
      <x:c r="O75" s="303" t="str">
        <x:v>https://franklin.oh.publicsearch.us/doc/124092768?department=RP</x:v>
      </x:c>
      <x:c r="P75" s="303" t="str">
        <x:v>Primary recorder images; all pages reviewed through OCR and the cited pages visually checked (visual_primary_plus_ocr).</x:v>
      </x:c>
      <x:c r="Q75" s="303" t="str">
        <x:v>Nominal stated consideration is not treated as sale price. Execution/effective date: 1993-06-25. Easement affects rights/use but does not transfer the fee.</x:v>
      </x:c>
      <x:c r="R75" s="332" t="str">
        <x:f>IF(OR(ISNUMBER(SEARCH("zero public",P75)),ISNUMBER(SEARCH("unavailable",P75))),"Detail only","Image-backed")</x:f>
        <x:v>Image-backed</x:v>
      </x:c>
      <x:c r="S75" s="335" t="n">
        <x:f>IF(ISNUMBER(A75),YEAR(A75),VALUE(LEFT(A75,4)))</x:f>
        <x:v>1993</x:v>
      </x:c>
      <x:c r="T75" s="332" t="str">
        <x:f>IF(OR(ISNUMBER(SEARCH("Cherry",D75)),ISNUMBER(SEARCH("C-Wren",D75))),"Cherry / C-Wren / KG",IF(OR(ISNUMBER(SEARCH("Rocky Fork",D75)),ISNUMBER(SEARCH("N.A. Property",D75))),"Rocky / New Albany",IF(ISNUMBER(SEARCH("Morsham",D75)),"Morsham / Eastern",IF(ISNUMBER(SEARCH("Park Properties",D75)),"Park",IF(OR(ISNUMBER(SEARCH("H.H.D",D75)),ISNUMBER(SEARCH("Family Property Trust",D75))),"HHD / Trust","Other")))))</x:f>
        <x:v>Cherry / C-Wren / KG</x:v>
      </x:c>
      <x:c r="U75" s="332" t="str">
        <x:f>S75&amp;"|"&amp;T75</x:f>
        <x:v>1993|Cherry / C-Wren / KG</x:v>
      </x:c>
    </x:row>
    <x:row r="76" ht="58" customHeight="1">
      <x:c r="A76" s="312" t="n">
        <x:v>34162.5</x:v>
      </x:c>
      <x:c r="B76" s="315" t="str">
        <x:v>199307120168458</x:v>
      </x:c>
      <x:c r="C76" s="315" t="str">
        <x:v>124094198</x:v>
      </x:c>
      <x:c r="D76" s="303" t="str">
        <x:v>C-Wren Investment / KG Partners</x:v>
      </x:c>
      <x:c r="E76" s="303" t="str">
        <x:v>KG/Christopher Wren tract; mortgage OR 17785 B03</x:v>
      </x:c>
      <x:c r="F76" s="303" t="str">
        <x:v>33.664 acres gross / 32.517 net</x:v>
      </x:c>
      <x:c r="G76" s="303" t="str">
        <x:v>Release of open-end mortgage</x:v>
      </x:c>
      <x:c r="H76" s="303" t="str">
        <x:v>Bank One, Columbus, N.A.</x:v>
      </x:c>
      <x:c r="I76" s="303" t="str">
        <x:v>KG Partners / record title chain</x:v>
      </x:c>
      <x:c r="J76" s="303" t="str">
        <x:v>Bank One acts as mortgagee/releasor.</x:v>
      </x:c>
      <x:c r="K76" s="303" t="str">
        <x:v>Satisfies in full and releases the Bank One mortgage of record.</x:v>
      </x:c>
      <x:c r="L76" s="303" t="str">
        <x:v>Release states satisfied in full; payoff amount not stated.</x:v>
      </x:c>
      <x:c r="M76" s="315" t="str">
        <x:v>199110040159340 / OR 17785 B03</x:v>
      </x:c>
      <x:c r="N76" s="315"/>
      <x:c r="O76" s="303" t="str">
        <x:v>https://franklin.oh.publicsearch.us/doc/124094198?department=RP</x:v>
      </x:c>
      <x:c r="P76" s="303" t="str">
        <x:v>Primary recorder images retrieved; OCR reviewed; material pages visually inspected.</x:v>
      </x:c>
      <x:c r="Q76" s="303" t="str">
        <x:v>Release closes only the identified lien and states no payoff amount; it does not establish disposition of other liens.</x:v>
      </x:c>
      <x:c r="R76" s="332" t="str">
        <x:f>IF(OR(ISNUMBER(SEARCH("zero public",P76)),ISNUMBER(SEARCH("unavailable",P76))),"Detail only","Image-backed")</x:f>
        <x:v>Image-backed</x:v>
      </x:c>
      <x:c r="S76" s="335" t="n">
        <x:f>IF(ISNUMBER(A76),YEAR(A76),VALUE(LEFT(A76,4)))</x:f>
        <x:v>1993</x:v>
      </x:c>
      <x:c r="T76" s="332" t="str">
        <x:f>IF(OR(ISNUMBER(SEARCH("Cherry",D76)),ISNUMBER(SEARCH("C-Wren",D76))),"Cherry / C-Wren / KG",IF(OR(ISNUMBER(SEARCH("Rocky Fork",D76)),ISNUMBER(SEARCH("N.A. Property",D76))),"Rocky / New Albany",IF(ISNUMBER(SEARCH("Morsham",D76)),"Morsham / Eastern",IF(ISNUMBER(SEARCH("Park Properties",D76)),"Park",IF(OR(ISNUMBER(SEARCH("H.H.D",D76)),ISNUMBER(SEARCH("Family Property Trust",D76))),"HHD / Trust","Other")))))</x:f>
        <x:v>Cherry / C-Wren / KG</x:v>
      </x:c>
      <x:c r="U76" s="332" t="str">
        <x:f>S76&amp;"|"&amp;T76</x:f>
        <x:v>1993|Cherry / C-Wren / KG</x:v>
      </x:c>
    </x:row>
    <x:row r="77" ht="58" customHeight="1">
      <x:c r="A77" s="312" t="n">
        <x:v>34162.5</x:v>
      </x:c>
      <x:c r="B77" s="315" t="str">
        <x:v>199307120168459</x:v>
      </x:c>
      <x:c r="C77" s="315" t="str">
        <x:v>124094199</x:v>
      </x:c>
      <x:c r="D77" s="303" t="str">
        <x:v>Cherry Bottom Properties / Investors</x:v>
      </x:c>
      <x:c r="E77" s="303" t="str">
        <x:v>025-4294 and 025-4278 | Release covers the 33.664-acre / 32.517-net tract.</x:v>
      </x:c>
      <x:c r="F77" s="303" t="str">
        <x:v>33.664 acres</x:v>
      </x:c>
      <x:c r="G77" s="303" t="str">
        <x:v>Satisfaction of Mortgage</x:v>
      </x:c>
      <x:c r="H77" s="303" t="str">
        <x:v>Cherry Bottom Properties, Inc., mortgagee</x:v>
      </x:c>
      <x:c r="I77" s="303" t="str">
        <x:v>KG Partners mortgage released</x:v>
      </x:c>
      <x:c r="J77" s="303" t="str">
        <x:v>Properties certifies the KG mortgage fully paid and satisfied as to the described property and authorizes discharge.</x:v>
      </x:c>
      <x:c r="K77" s="303" t="str">
        <x:v>Closes the seller-financing trail: Properties' $1.08 million mortgage was satisfied by July 1993.</x:v>
      </x:c>
      <x:c r="L77" s="303" t="str">
        <x:v>Full satisfaction of the $1,080,000 mortgage recorded as OR 17785 C13.</x:v>
      </x:c>
      <x:c r="M77" s="315" t="str">
        <x:v>Releases mortgage 199110040159341, dated 1991-09-30 and recorded 1991-10-04 at OR 17785 C13.</x:v>
      </x:c>
      <x:c r="N77" s="315"/>
      <x:c r="O77" s="303" t="str">
        <x:v>https://franklin.oh.publicsearch.us/doc/124094199?department=RP</x:v>
      </x:c>
      <x:c r="P77" s="303" t="str">
        <x:v>Primary recorder images; all pages OCRed; operative/execution page visually inspected.</x:v>
      </x:c>
      <x:c r="Q77" s="303" t="str">
        <x:v>Release closes only the identified lien and states no payoff amount; it does not establish disposition of other liens. Execution/effective date: 1993-07-08.</x:v>
      </x:c>
      <x:c r="R77" s="332" t="str">
        <x:f>IF(OR(ISNUMBER(SEARCH("zero public",P77)),ISNUMBER(SEARCH("unavailable",P77))),"Detail only","Image-backed")</x:f>
        <x:v>Image-backed</x:v>
      </x:c>
      <x:c r="S77" s="335" t="n">
        <x:f>IF(ISNUMBER(A77),YEAR(A77),VALUE(LEFT(A77,4)))</x:f>
        <x:v>1993</x:v>
      </x:c>
      <x:c r="T77" s="332" t="str">
        <x:f>IF(OR(ISNUMBER(SEARCH("Cherry",D77)),ISNUMBER(SEARCH("C-Wren",D77))),"Cherry / C-Wren / KG",IF(OR(ISNUMBER(SEARCH("Rocky Fork",D77)),ISNUMBER(SEARCH("N.A. Property",D77))),"Rocky / New Albany",IF(ISNUMBER(SEARCH("Morsham",D77)),"Morsham / Eastern",IF(ISNUMBER(SEARCH("Park Properties",D77)),"Park",IF(OR(ISNUMBER(SEARCH("H.H.D",D77)),ISNUMBER(SEARCH("Family Property Trust",D77))),"HHD / Trust","Other")))))</x:f>
        <x:v>Cherry / C-Wren / KG</x:v>
      </x:c>
      <x:c r="U77" s="332" t="str">
        <x:f>S77&amp;"|"&amp;T77</x:f>
        <x:v>1993|Cherry / C-Wren / KG</x:v>
      </x:c>
    </x:row>
    <x:row r="78" ht="58" customHeight="1">
      <x:c r="A78" s="312" t="n">
        <x:v>34163.5</x:v>
      </x:c>
      <x:c r="B78" s="315" t="str">
        <x:v>199307130023483</x:v>
      </x:c>
      <x:c r="C78" s="315" t="str">
        <x:v>124094930</x:v>
      </x:c>
      <x:c r="D78" s="303" t="str">
        <x:v>C-Wren Investment / KG Partners</x:v>
      </x:c>
      <x:c r="E78" s="303" t="str">
        <x:v>Official detail lists 35 North Fourth Street; no public legal-description image</x:v>
      </x:c>
      <x:c r="F78" s="303"/>
      <x:c r="G78" s="303" t="str">
        <x:v>Release of financing statement</x:v>
      </x:c>
      <x:c r="H78" s="303" t="str">
        <x:v>KG Partners (indexed)</x:v>
      </x:c>
      <x:c r="I78" s="303" t="str">
        <x:v>Secured/releasing party not indexed</x:v>
      </x:c>
      <x:c r="J78" s="303" t="str">
        <x:v>Official recorder detail only; no public page image.</x:v>
      </x:c>
      <x:c r="K78" s="303" t="str">
        <x:v>Release event is indexed, but the released filing/collateral cannot be identified from public text.</x:v>
      </x:c>
      <x:c r="L78" s="303" t="str">
        <x:v>No payoff or release amount stated in public detail.</x:v>
      </x:c>
      <x:c r="M78" s="315"/>
      <x:c r="N78" s="315"/>
      <x:c r="O78" s="303" t="str">
        <x:v>https://franklin.oh.publicsearch.us/doc/124094930?department=RP</x:v>
      </x:c>
      <x:c r="P78" s="303" t="str">
        <x:v>Official recorder index/detail only; public page image unavailable.</x:v>
      </x:c>
      <x:c r="Q78" s="303" t="str">
        <x:v>Do not infer secured party, collateral, payoff, or duplication from the index entry alone.</x:v>
      </x:c>
      <x:c r="R78" s="332" t="str">
        <x:f>IF(OR(ISNUMBER(SEARCH("zero public",P78)),ISNUMBER(SEARCH("unavailable",P78))),"Detail only","Image-backed")</x:f>
        <x:v>Detail only</x:v>
      </x:c>
      <x:c r="S78" s="335" t="n">
        <x:f>IF(ISNUMBER(A78),YEAR(A78),VALUE(LEFT(A78,4)))</x:f>
        <x:v>1993</x:v>
      </x:c>
      <x:c r="T78" s="332" t="str">
        <x:f>IF(OR(ISNUMBER(SEARCH("Cherry",D78)),ISNUMBER(SEARCH("C-Wren",D78))),"Cherry / C-Wren / KG",IF(OR(ISNUMBER(SEARCH("Rocky Fork",D78)),ISNUMBER(SEARCH("N.A. Property",D78))),"Rocky / New Albany",IF(ISNUMBER(SEARCH("Morsham",D78)),"Morsham / Eastern",IF(ISNUMBER(SEARCH("Park Properties",D78)),"Park",IF(OR(ISNUMBER(SEARCH("H.H.D",D78)),ISNUMBER(SEARCH("Family Property Trust",D78))),"HHD / Trust","Other")))))</x:f>
        <x:v>Cherry / C-Wren / KG</x:v>
      </x:c>
      <x:c r="U78" s="332" t="str">
        <x:f>S78&amp;"|"&amp;T78</x:f>
        <x:v>1993|Cherry / C-Wren / KG</x:v>
      </x:c>
    </x:row>
    <x:row r="79" ht="58" customHeight="1">
      <x:c r="A79" s="312" t="n">
        <x:v>34163.5</x:v>
      </x:c>
      <x:c r="B79" s="315" t="str">
        <x:v>199307130023484</x:v>
      </x:c>
      <x:c r="C79" s="315" t="str">
        <x:v>124094932</x:v>
      </x:c>
      <x:c r="D79" s="303" t="str">
        <x:v>C-Wren Investment / KG Partners</x:v>
      </x:c>
      <x:c r="E79" s="303" t="str">
        <x:v>Official detail lists 35 North Fourth Street; no public legal-description image</x:v>
      </x:c>
      <x:c r="F79" s="303"/>
      <x:c r="G79" s="303" t="str">
        <x:v>Release of financing statement</x:v>
      </x:c>
      <x:c r="H79" s="303" t="str">
        <x:v>KG Partners (indexed)</x:v>
      </x:c>
      <x:c r="I79" s="303" t="str">
        <x:v>Secured/releasing party not indexed</x:v>
      </x:c>
      <x:c r="J79" s="303" t="str">
        <x:v>Official recorder detail only; no public page image.</x:v>
      </x:c>
      <x:c r="K79" s="303" t="str">
        <x:v>Release event is indexed, but the released filing/collateral cannot be identified from public text.</x:v>
      </x:c>
      <x:c r="L79" s="303" t="str">
        <x:v>No payoff or release amount stated in public detail.</x:v>
      </x:c>
      <x:c r="M79" s="315"/>
      <x:c r="N79" s="315"/>
      <x:c r="O79" s="303" t="str">
        <x:v>https://franklin.oh.publicsearch.us/doc/124094932?department=RP</x:v>
      </x:c>
      <x:c r="P79" s="303" t="str">
        <x:v>Official recorder index/detail only; public page image unavailable.</x:v>
      </x:c>
      <x:c r="Q79" s="303" t="str">
        <x:v>Do not infer secured party, collateral, payoff, or duplication from the index entry alone.</x:v>
      </x:c>
      <x:c r="R79" s="332" t="str">
        <x:f>IF(OR(ISNUMBER(SEARCH("zero public",P79)),ISNUMBER(SEARCH("unavailable",P79))),"Detail only","Image-backed")</x:f>
        <x:v>Detail only</x:v>
      </x:c>
      <x:c r="S79" s="335" t="n">
        <x:f>IF(ISNUMBER(A79),YEAR(A79),VALUE(LEFT(A79,4)))</x:f>
        <x:v>1993</x:v>
      </x:c>
      <x:c r="T79" s="332" t="str">
        <x:f>IF(OR(ISNUMBER(SEARCH("Cherry",D79)),ISNUMBER(SEARCH("C-Wren",D79))),"Cherry / C-Wren / KG",IF(OR(ISNUMBER(SEARCH("Rocky Fork",D79)),ISNUMBER(SEARCH("N.A. Property",D79))),"Rocky / New Albany",IF(ISNUMBER(SEARCH("Morsham",D79)),"Morsham / Eastern",IF(ISNUMBER(SEARCH("Park Properties",D79)),"Park",IF(OR(ISNUMBER(SEARCH("H.H.D",D79)),ISNUMBER(SEARCH("Family Property Trust",D79))),"HHD / Trust","Other")))))</x:f>
        <x:v>Cherry / C-Wren / KG</x:v>
      </x:c>
      <x:c r="U79" s="332" t="str">
        <x:f>S79&amp;"|"&amp;T79</x:f>
        <x:v>1993|Cherry / C-Wren / KG</x:v>
      </x:c>
    </x:row>
    <x:row r="80" ht="58" customHeight="1">
      <x:c r="A80" s="312" t="n">
        <x:v>34163.5</x:v>
      </x:c>
      <x:c r="B80" s="315" t="str">
        <x:v>199307130169303</x:v>
      </x:c>
      <x:c r="C80" s="315" t="str">
        <x:v>124094947</x:v>
      </x:c>
      <x:c r="D80" s="303" t="str">
        <x:v>C-Wren Investment / KG Partners</x:v>
      </x:c>
      <x:c r="E80" s="303" t="str">
        <x:v>KG tract; prior financing file 78496</x:v>
      </x:c>
      <x:c r="F80" s="303" t="str">
        <x:v>32.517 acres net</x:v>
      </x:c>
      <x:c r="G80" s="303" t="str">
        <x:v>Release of real-estate financing statement</x:v>
      </x:c>
      <x:c r="H80" s="303" t="str">
        <x:v>Bank One (secured party/releasor)</x:v>
      </x:c>
      <x:c r="I80" s="303" t="str">
        <x:v>KG Partners (record owner/debtor)</x:v>
      </x:c>
      <x:c r="J80" s="303" t="str">
        <x:v>Property-attached financing-statement termination.</x:v>
      </x:c>
      <x:c r="K80" s="303" t="str">
        <x:v>Terminates the identified Bank One real-estate financing statement.</x:v>
      </x:c>
      <x:c r="L80" s="303" t="str">
        <x:v>No payoff amount stated.</x:v>
      </x:c>
      <x:c r="M80" s="315" t="str">
        <x:v>199110040159342; financing file 78496</x:v>
      </x:c>
      <x:c r="N80" s="315"/>
      <x:c r="O80" s="303" t="str">
        <x:v>https://franklin.oh.publicsearch.us/doc/124094947?department=RP</x:v>
      </x:c>
      <x:c r="P80" s="303" t="str">
        <x:v>Primary recorder images retrieved; OCR reviewed; material pages visually inspected.</x:v>
      </x:c>
      <x:c r="Q80" s="303"/>
      <x:c r="R80" s="332" t="str">
        <x:f>IF(OR(ISNUMBER(SEARCH("zero public",P80)),ISNUMBER(SEARCH("unavailable",P80))),"Detail only","Image-backed")</x:f>
        <x:v>Image-backed</x:v>
      </x:c>
      <x:c r="S80" s="335" t="n">
        <x:f>IF(ISNUMBER(A80),YEAR(A80),VALUE(LEFT(A80,4)))</x:f>
        <x:v>1993</x:v>
      </x:c>
      <x:c r="T80" s="332" t="str">
        <x:f>IF(OR(ISNUMBER(SEARCH("Cherry",D80)),ISNUMBER(SEARCH("C-Wren",D80))),"Cherry / C-Wren / KG",IF(OR(ISNUMBER(SEARCH("Rocky Fork",D80)),ISNUMBER(SEARCH("N.A. Property",D80))),"Rocky / New Albany",IF(ISNUMBER(SEARCH("Morsham",D80)),"Morsham / Eastern",IF(ISNUMBER(SEARCH("Park Properties",D80)),"Park",IF(OR(ISNUMBER(SEARCH("H.H.D",D80)),ISNUMBER(SEARCH("Family Property Trust",D80))),"HHD / Trust","Other")))))</x:f>
        <x:v>Cherry / C-Wren / KG</x:v>
      </x:c>
      <x:c r="U80" s="332" t="str">
        <x:f>S80&amp;"|"&amp;T80</x:f>
        <x:v>1993|Cherry / C-Wren / KG</x:v>
      </x:c>
    </x:row>
    <x:row r="81" ht="58" customHeight="1">
      <x:c r="A81" s="312" t="n">
        <x:v>34220.5</x:v>
      </x:c>
      <x:c r="B81" s="315" t="str">
        <x:v>199309080030750</x:v>
      </x:c>
      <x:c r="C81" s="315" t="str">
        <x:v>124143557</x:v>
      </x:c>
      <x:c r="D81" s="303" t="str">
        <x:v>Park Properties / C.H. Development Group</x:v>
      </x:c>
      <x:c r="E81" s="303" t="str">
        <x:v>No legal description in official detail; remark/address: 903 Rarig, Columbus, Ohio</x:v>
      </x:c>
      <x:c r="F81" s="303"/>
      <x:c r="G81" s="303" t="str">
        <x:v>Financing Statement (FS)</x:v>
      </x:c>
      <x:c r="H81" s="303" t="str">
        <x:v>Steven Cravener; Terri Cravener</x:v>
      </x:c>
      <x:c r="I81" s="303" t="str">
        <x:v>No secured party indexed</x:v>
      </x:c>
      <x:c r="J81" s="303" t="str">
        <x:v>Portal-marginally linked UCC instrument; Park is not indexed; relationship unresolved</x:v>
      </x:c>
      <x:c r="K81" s="303" t="str">
        <x:v>Portal-only UCC/fixture record is marginally linked to the Park family; content and secured party remain unresolved.</x:v>
      </x:c>
      <x:c r="L81" s="303" t="str">
        <x:v>None stated; Not applicable; UCC filing; Unknown; public image unavailable</x:v>
      </x:c>
      <x:c r="M81" s="315" t="str">
        <x:v>Portal ties record volume to F-03 and marginally references 198512170169361; 198703060079777; 199002200063673</x:v>
      </x:c>
      <x:c r="N81" s="315" t="str">
        <x:v>199608290027759</x:v>
      </x:c>
      <x:c r="O81" s="303" t="str">
        <x:v>https://franklin.oh.publicsearch.us/doc/124143557?department=RP</x:v>
      </x:c>
      <x:c r="P81" s="303" t="str">
        <x:v>Official detail only; zero public page URLs and no OCR/image</x:v>
      </x:c>
      <x:c r="Q81" s="303" t="str">
        <x:v>The mutual marginal chain could reflect a UCC/fixture/title-cleanup relationship or migrated-index error. With no image and no Park party, it is not evidence of a post-dissolution Park act, assignee, merger survivor, or continuing lien.</x:v>
      </x:c>
      <x:c r="R81" s="332" t="str">
        <x:f>IF(OR(ISNUMBER(SEARCH("zero public",P81)),ISNUMBER(SEARCH("unavailable",P81))),"Detail only","Image-backed")</x:f>
        <x:v>Detail only</x:v>
      </x:c>
      <x:c r="S81" s="335" t="n">
        <x:f>IF(ISNUMBER(A81),YEAR(A81),VALUE(LEFT(A81,4)))</x:f>
        <x:v>1993</x:v>
      </x:c>
      <x:c r="T81" s="332" t="str">
        <x:f>IF(OR(ISNUMBER(SEARCH("Cherry",D81)),ISNUMBER(SEARCH("C-Wren",D81))),"Cherry / C-Wren / KG",IF(OR(ISNUMBER(SEARCH("Rocky Fork",D81)),ISNUMBER(SEARCH("N.A. Property",D81))),"Rocky / New Albany",IF(ISNUMBER(SEARCH("Morsham",D81)),"Morsham / Eastern",IF(ISNUMBER(SEARCH("Park Properties",D81)),"Park",IF(OR(ISNUMBER(SEARCH("H.H.D",D81)),ISNUMBER(SEARCH("Family Property Trust",D81))),"HHD / Trust","Other")))))</x:f>
        <x:v>Park</x:v>
      </x:c>
      <x:c r="U81" s="332" t="str">
        <x:f>S81&amp;"|"&amp;T81</x:f>
        <x:v>1993|Park</x:v>
      </x:c>
    </x:row>
    <x:row r="82" ht="58" customHeight="1">
      <x:c r="A82" s="312" t="n">
        <x:v>34220.5</x:v>
      </x:c>
      <x:c r="B82" s="315" t="str">
        <x:v>199309080030754</x:v>
      </x:c>
      <x:c r="C82" s="315" t="str">
        <x:v>124144144</x:v>
      </x:c>
      <x:c r="D82" s="303" t="str">
        <x:v>Park Properties / C.H. Development Group</x:v>
      </x:c>
      <x:c r="E82" s="303" t="str">
        <x:v>No legal description in official detail; remark/address: 5336 London Groveport Road, Orient, Ohio</x:v>
      </x:c>
      <x:c r="F82" s="303"/>
      <x:c r="G82" s="303" t="str">
        <x:v>Release of Financing Statement (REFS)</x:v>
      </x:c>
      <x:c r="H82" s="303" t="str">
        <x:v>Richard Brungarth; Mary Brungarth</x:v>
      </x:c>
      <x:c r="I82" s="303" t="str">
        <x:v>No secured party/releasing party indexed</x:v>
      </x:c>
      <x:c r="J82" s="303" t="str">
        <x:v>Portal-marginally linked UCC release; Park is not indexed; relationship unresolved</x:v>
      </x:c>
      <x:c r="K82" s="303" t="str">
        <x:v>Portal-only UCC/fixture record is marginally linked to the Park family; content and secured party remain unresolved.</x:v>
      </x:c>
      <x:c r="L82" s="303" t="str">
        <x:v>None stated; Not applicable; UCC release; Unknown; public image unavailable</x:v>
      </x:c>
      <x:c r="M82" s="315" t="str">
        <x:v>199212290043190; portal also references 198512170169360; 198601070053215; 198601070053216</x:v>
      </x:c>
      <x:c r="N82" s="315" t="str">
        <x:v>None shown</x:v>
      </x:c>
      <x:c r="O82" s="303" t="str">
        <x:v>https://franklin.oh.publicsearch.us/doc/124144144?department=RP</x:v>
      </x:c>
      <x:c r="P82" s="303" t="str">
        <x:v>Official detail only; zero public page URLs and no OCR/image</x:v>
      </x:c>
      <x:c r="Q82" s="303" t="str">
        <x:v>The official marginal-reference list mixes the Brungarth FS with Park's erroneous F-08/F-13 correction family. No image or indexed Park party supports treating the Brungarth filing as a Park corporate instrument or successor transaction.</x:v>
      </x:c>
      <x:c r="R82" s="332" t="str">
        <x:f>IF(OR(ISNUMBER(SEARCH("zero public",P82)),ISNUMBER(SEARCH("unavailable",P82))),"Detail only","Image-backed")</x:f>
        <x:v>Detail only</x:v>
      </x:c>
      <x:c r="S82" s="335" t="n">
        <x:f>IF(ISNUMBER(A82),YEAR(A82),VALUE(LEFT(A82,4)))</x:f>
        <x:v>1993</x:v>
      </x:c>
      <x:c r="T82" s="332" t="str">
        <x:f>IF(OR(ISNUMBER(SEARCH("Cherry",D82)),ISNUMBER(SEARCH("C-Wren",D82))),"Cherry / C-Wren / KG",IF(OR(ISNUMBER(SEARCH("Rocky Fork",D82)),ISNUMBER(SEARCH("N.A. Property",D82))),"Rocky / New Albany",IF(ISNUMBER(SEARCH("Morsham",D82)),"Morsham / Eastern",IF(ISNUMBER(SEARCH("Park Properties",D82)),"Park",IF(OR(ISNUMBER(SEARCH("H.H.D",D82)),ISNUMBER(SEARCH("Family Property Trust",D82))),"HHD / Trust","Other")))))</x:f>
        <x:v>Park</x:v>
      </x:c>
      <x:c r="U82" s="332" t="str">
        <x:f>S82&amp;"|"&amp;T82</x:f>
        <x:v>1993|Park</x:v>
      </x:c>
    </x:row>
    <x:row r="83" ht="58" customHeight="1">
      <x:c r="A83" s="312" t="n">
        <x:v>34277.5</x:v>
      </x:c>
      <x:c r="B83" s="315" t="str">
        <x:v>199311040257719</x:v>
      </x:c>
      <x:c r="C83" s="315" t="str">
        <x:v>124197370</x:v>
      </x:c>
      <x:c r="D83" s="303" t="str">
        <x:v>Cherry Bottom Properties / Investors</x:v>
      </x:c>
      <x:c r="E83" s="303" t="str">
        <x:v>0.189-acre parcel out of Lot 1, Cherry Bottom Commerce Park, plus temporary pedestrian and vehicle access until Cherry Way opens; restrictions also describe broader burdened Parcels A-C; acreage/area: 0.189 conveyed</x:v>
      </x:c>
      <x:c r="F83" s="303" t="str">
        <x:v>0.189 acres</x:v>
      </x:c>
      <x:c r="G83" s="303" t="str">
        <x:v>GENERAL WARRANTY DEED</x:v>
      </x:c>
      <x:c r="H83" s="303" t="str">
        <x:v>Cherry Bottom Properties, Inc.; Thomas H. Lurie; Nancy N. Lurie</x:v>
      </x:c>
      <x:c r="I83" s="303" t="str">
        <x:v>Gahanna Medical Limited Partnership, an Ohio limited partnership</x:v>
      </x:c>
      <x:c r="J83" s="303" t="str">
        <x:v>Cherry Bottom Properties, Inc. and the Luries execute as direct co-grantors. No successor-by-merger recital.</x:v>
      </x:c>
      <x:c r="K83" s="303" t="str">
        <x:v>The index acreage values 17.791, 10.554, and 6.302 describe restriction parcels, not the parcel conveyed. Exhibit A gives the conveyed parcel as 0.189 acre. $23 is recorder/index conveyance tax.</x:v>
      </x:c>
      <x:c r="L83" s="303" t="str">
        <x:v>Document face: Valuable consideration paid; no face amount stated; Recorder/index tax or amount: $23 conveyance tax/index amount; Lender/debt: None in this deed</x:v>
      </x:c>
      <x:c r="M83" s="315" t="str">
        <x:v>Prior: OR 11253J11; OR 16658J11; next/marginal: OR 24539C13; amended/referenced by 199511200215267</x:v>
      </x:c>
      <x:c r="N83" s="315" t="str">
        <x:v>next/marginal OR 24539C13; amended/referenced by 199511200215267</x:v>
      </x:c>
      <x:c r="O83" s="303" t="str">
        <x:v>https://franklin.oh.publicsearch.us/doc/124197370?department=RP</x:v>
      </x:c>
      <x:c r="P83" s="303" t="str">
        <x:v>Primary recorder images; all pages reviewed through OCR and the cited pages visually checked (visual_primary_refines_index_legal).</x:v>
      </x:c>
      <x:c r="Q83" s="303" t="str">
        <x:v>Conveyance-tax/fee figures are not treated as sale price. Execution/effective date: 1993-11-03.</x:v>
      </x:c>
      <x:c r="R83" s="332" t="str">
        <x:f>IF(OR(ISNUMBER(SEARCH("zero public",P83)),ISNUMBER(SEARCH("unavailable",P83))),"Detail only","Image-backed")</x:f>
        <x:v>Image-backed</x:v>
      </x:c>
      <x:c r="S83" s="335" t="n">
        <x:f>IF(ISNUMBER(A83),YEAR(A83),VALUE(LEFT(A83,4)))</x:f>
        <x:v>1993</x:v>
      </x:c>
      <x:c r="T83" s="332" t="str">
        <x:f>IF(OR(ISNUMBER(SEARCH("Cherry",D83)),ISNUMBER(SEARCH("C-Wren",D83))),"Cherry / C-Wren / KG",IF(OR(ISNUMBER(SEARCH("Rocky Fork",D83)),ISNUMBER(SEARCH("N.A. Property",D83))),"Rocky / New Albany",IF(ISNUMBER(SEARCH("Morsham",D83)),"Morsham / Eastern",IF(ISNUMBER(SEARCH("Park Properties",D83)),"Park",IF(OR(ISNUMBER(SEARCH("H.H.D",D83)),ISNUMBER(SEARCH("Family Property Trust",D83))),"HHD / Trust","Other")))))</x:f>
        <x:v>Cherry / C-Wren / KG</x:v>
      </x:c>
      <x:c r="U83" s="332" t="str">
        <x:f>S83&amp;"|"&amp;T83</x:f>
        <x:v>1993|Cherry / C-Wren / KG</x:v>
      </x:c>
    </x:row>
    <x:row r="84" ht="58" customHeight="1">
      <x:c r="A84" s="312" t="n">
        <x:v>34277.5</x:v>
      </x:c>
      <x:c r="B84" s="315" t="str">
        <x:v>199311040257720</x:v>
      </x:c>
      <x:c r="C84" s="315" t="str">
        <x:v>124197399</x:v>
      </x:c>
      <x:c r="D84" s="303" t="str">
        <x:v>Cherry Bottom Properties / Investors</x:v>
      </x:c>
      <x:c r="E84" s="303" t="str">
        <x:v>Cherry Bottom Commerce Park, Plat Book 76, page 49; declaration extends restrictions over Parcel A 17.791 acres, Parcel B 10.554 acres, and Parcel C 6.302 acres; includes temporary access until Cherry Way opens; acreage/area: 17.791; 10.554; 6.302 restriction tracts</x:v>
      </x:c>
      <x:c r="F84" s="303" t="str">
        <x:v>17.791 acres; 10.554 acres; 6.302 acres</x:v>
      </x:c>
      <x:c r="G84" s="303" t="str">
        <x:v>DECLARATION OF COVENANTS, CONDITIONS, RESTRICTIONS AND EASEMENTS</x:v>
      </x:c>
      <x:c r="H84" s="303" t="str">
        <x:v>Cherry Bottom Properties, Inc.; Thomas H. Lurie; Nancy N. Lurie</x:v>
      </x:c>
      <x:c r="I84" s="303" t="str">
        <x:v>Present and future owners and designated parties benefiting from or burdened by the declaration</x:v>
      </x:c>
      <x:c r="J84" s="303" t="str">
        <x:v>Cherry Bottom Properties, Inc. and the Luries act as owners/declarants creating reciprocal land covenants. No successor-by-merger recital.</x:v>
      </x:c>
      <x:c r="K84" s="303" t="str">
        <x:v>No conventional grantee; this instrument creates reciprocal covenants and easements running with the land.</x:v>
      </x:c>
      <x:c r="L84" s="303" t="str">
        <x:v>Document face: Mutual covenants; no monetary consideration stated; Recorder/index tax or amount: Transfer-exempt</x:v>
      </x:c>
      <x:c r="M84" s="315" t="str">
        <x:v>Prior: OR 11253J11; OR 16658J11; OR 24539C13; next/marginal: OR 24539D06; amended by 199511200215267</x:v>
      </x:c>
      <x:c r="N84" s="315" t="str">
        <x:v>next/marginal OR 24539D06; amended by 199511200215267</x:v>
      </x:c>
      <x:c r="O84" s="303" t="str">
        <x:v>https://franklin.oh.publicsearch.us/doc/124197399?department=RP</x:v>
      </x:c>
      <x:c r="P84" s="303" t="str">
        <x:v>Primary recorder images; all pages reviewed through OCR and the cited pages visually checked (visual_primary_plus_ocr).</x:v>
      </x:c>
      <x:c r="Q84" s="303" t="str">
        <x:v>Execution/effective date: 1993-11-03. Easement affects rights/use but does not transfer the fee.</x:v>
      </x:c>
      <x:c r="R84" s="332" t="str">
        <x:f>IF(OR(ISNUMBER(SEARCH("zero public",P84)),ISNUMBER(SEARCH("unavailable",P84))),"Detail only","Image-backed")</x:f>
        <x:v>Image-backed</x:v>
      </x:c>
      <x:c r="S84" s="335" t="n">
        <x:f>IF(ISNUMBER(A84),YEAR(A84),VALUE(LEFT(A84,4)))</x:f>
        <x:v>1993</x:v>
      </x:c>
      <x:c r="T84" s="332" t="str">
        <x:f>IF(OR(ISNUMBER(SEARCH("Cherry",D84)),ISNUMBER(SEARCH("C-Wren",D84))),"Cherry / C-Wren / KG",IF(OR(ISNUMBER(SEARCH("Rocky Fork",D84)),ISNUMBER(SEARCH("N.A. Property",D84))),"Rocky / New Albany",IF(ISNUMBER(SEARCH("Morsham",D84)),"Morsham / Eastern",IF(ISNUMBER(SEARCH("Park Properties",D84)),"Park",IF(OR(ISNUMBER(SEARCH("H.H.D",D84)),ISNUMBER(SEARCH("Family Property Trust",D84))),"HHD / Trust","Other")))))</x:f>
        <x:v>Cherry / C-Wren / KG</x:v>
      </x:c>
      <x:c r="U84" s="332" t="str">
        <x:f>S84&amp;"|"&amp;T84</x:f>
        <x:v>1993|Cherry / C-Wren / KG</x:v>
      </x:c>
    </x:row>
    <x:row r="85" ht="58" customHeight="1">
      <x:c r="A85" s="312" t="n">
        <x:v>34465.5</x:v>
      </x:c>
      <x:c r="B85" s="315" t="str">
        <x:v>199405110136038</x:v>
      </x:c>
      <x:c r="C85" s="315" t="str">
        <x:v>124357460</x:v>
      </x:c>
      <x:c r="D85" s="303" t="str">
        <x:v>Morsham Land / Eastern Ohio Holding / New Albany</x:v>
      </x:c>
      <x:c r="E85" s="303" t="str">
        <x:v>545-147940; 545-147941 | Twenty-foot gas-pipeline easement across the Hamilton Road frontage of an underlying 48.21-acre tract sourced to OR 11024A15.</x:v>
      </x:c>
      <x:c r="F85" s="303" t="str">
        <x:v>48.21 acres</x:v>
      </x:c>
      <x:c r="G85" s="303" t="str">
        <x:v>Easement</x:v>
      </x:c>
      <x:c r="H85" s="303" t="str">
        <x:v>Morsham Land Corporation</x:v>
      </x:c>
      <x:c r="I85" s="303" t="str">
        <x:v>Columbia Gas of Ohio, Inc.</x:v>
      </x:c>
      <x:c r="J85" s="303" t="str">
        <x:v>Morsham acts as owner/grantor; no merger or successor wording.</x:v>
      </x:c>
      <x:c r="K85" s="303" t="str">
        <x:v>MATERIAL OPERATIONAL RECORD. It confirms Morsham actively burdened the original tract in 1994 and identifies Gary Kerney as president.</x:v>
      </x:c>
      <x:c r="L85" s="303" t="str">
        <x:v>$1 and other good and valuable consideration.</x:v>
      </x:c>
      <x:c r="M85" s="315" t="str">
        <x:v>Morsham source deed OR 11024A15.</x:v>
      </x:c>
      <x:c r="N85" s="315"/>
      <x:c r="O85" s="303" t="str">
        <x:v>https://franklin.oh.publicsearch.us/doc/124357460?department=RP</x:v>
      </x:c>
      <x:c r="P85" s="303" t="str">
        <x:v>Primary recorder images; every page OCRed; grant, legal description, signature, acknowledgment, preparer, and return address visually verified.</x:v>
      </x:c>
      <x:c r="Q85" s="303" t="str">
        <x:v>Nominal stated consideration is not treated as sale price. Execution/effective date: 1994-04-27. Easement affects rights/use but does not transfer the fee.</x:v>
      </x:c>
      <x:c r="R85" s="332" t="str">
        <x:f>IF(OR(ISNUMBER(SEARCH("zero public",P85)),ISNUMBER(SEARCH("unavailable",P85))),"Detail only","Image-backed")</x:f>
        <x:v>Image-backed</x:v>
      </x:c>
      <x:c r="S85" s="335" t="n">
        <x:f>IF(ISNUMBER(A85),YEAR(A85),VALUE(LEFT(A85,4)))</x:f>
        <x:v>1994</x:v>
      </x:c>
      <x:c r="T85" s="332" t="str">
        <x:f>IF(OR(ISNUMBER(SEARCH("Cherry",D85)),ISNUMBER(SEARCH("C-Wren",D85))),"Cherry / C-Wren / KG",IF(OR(ISNUMBER(SEARCH("Rocky Fork",D85)),ISNUMBER(SEARCH("N.A. Property",D85))),"Rocky / New Albany",IF(ISNUMBER(SEARCH("Morsham",D85)),"Morsham / Eastern",IF(ISNUMBER(SEARCH("Park Properties",D85)),"Park",IF(OR(ISNUMBER(SEARCH("H.H.D",D85)),ISNUMBER(SEARCH("Family Property Trust",D85))),"HHD / Trust","Other")))))</x:f>
        <x:v>Morsham / Eastern</x:v>
      </x:c>
      <x:c r="U85" s="332" t="str">
        <x:f>S85&amp;"|"&amp;T85</x:f>
        <x:v>1994|Morsham / Eastern</x:v>
      </x:c>
    </x:row>
    <x:row r="86" ht="58" customHeight="1">
      <x:c r="A86" s="312" t="n">
        <x:v>34522.5</x:v>
      </x:c>
      <x:c r="B86" s="315" t="str">
        <x:v>199407070171228</x:v>
      </x:c>
      <x:c r="C86" s="315" t="str">
        <x:v>124399820</x:v>
      </x:c>
      <x:c r="D86" s="303" t="str">
        <x:v>1990 Family Property Trust A</x:v>
      </x:c>
      <x:c r="E86" s="303" t="str">
        <x:v>222-001301 | Lot 18, New Albany Country Club Section 8; King George Drive</x:v>
      </x:c>
      <x:c r="F86" s="303" t="str">
        <x:v>Lot 18; acreage not stated</x:v>
      </x:c>
      <x:c r="G86" s="303" t="str">
        <x:v>General warranty deed</x:v>
      </x:c>
      <x:c r="H86" s="303" t="str">
        <x:v>The New Albany Company Limited Partnership, f/k/a Ohio general partnership</x:v>
      </x:c>
      <x:c r="I86" s="303" t="str">
        <x:v>Jeffrey E. Epstein, trustee of 1990 Family Property Trust A</x:v>
      </x:c>
      <x:c r="J86" s="303" t="str">
        <x:v>Epstein takes title expressly as trustee, not individually.</x:v>
      </x:c>
      <x:c r="K86" s="303" t="str">
        <x:v>Conveys fee title to the named trustee for the trust, subject to community covenants/charges.</x:v>
      </x:c>
      <x:c r="L86" s="303" t="str">
        <x:v>Deed amount not treated as purchase price; conveyance-tax stamp $364.70.</x:v>
      </x:c>
      <x:c r="M86" s="315" t="str">
        <x:v>OR 12773 C11; OR 16586 H?; OR 21256 E01 (middle OCR character uncertain)</x:v>
      </x:c>
      <x:c r="N86" s="315" t="str">
        <x:v>200712270220208</x:v>
      </x:c>
      <x:c r="O86" s="303" t="str">
        <x:v>https://franklin.oh.publicsearch.us/doc/124399820?department=RP</x:v>
      </x:c>
      <x:c r="P86" s="303" t="str">
        <x:v>Primary recorder images retrieved; OCR reviewed; material pages visually inspected.</x:v>
      </x:c>
      <x:c r="Q86" s="303" t="str">
        <x:v>Trustee title does not establish Epstein's beneficial ownership. Conveyance-tax/fee figures are not treated as sale price.</x:v>
      </x:c>
      <x:c r="R86" s="332" t="str">
        <x:f>IF(OR(ISNUMBER(SEARCH("zero public",P86)),ISNUMBER(SEARCH("unavailable",P86))),"Detail only","Image-backed")</x:f>
        <x:v>Image-backed</x:v>
      </x:c>
      <x:c r="S86" s="335" t="n">
        <x:f>IF(ISNUMBER(A86),YEAR(A86),VALUE(LEFT(A86,4)))</x:f>
        <x:v>1994</x:v>
      </x:c>
      <x:c r="T86" s="332" t="str">
        <x:f>IF(OR(ISNUMBER(SEARCH("Cherry",D86)),ISNUMBER(SEARCH("C-Wren",D86))),"Cherry / C-Wren / KG",IF(OR(ISNUMBER(SEARCH("Rocky Fork",D86)),ISNUMBER(SEARCH("N.A. Property",D86))),"Rocky / New Albany",IF(ISNUMBER(SEARCH("Morsham",D86)),"Morsham / Eastern",IF(ISNUMBER(SEARCH("Park Properties",D86)),"Park",IF(OR(ISNUMBER(SEARCH("H.H.D",D86)),ISNUMBER(SEARCH("Family Property Trust",D86))),"HHD / Trust","Other")))))</x:f>
        <x:v>HHD / Trust</x:v>
      </x:c>
      <x:c r="U86" s="332" t="str">
        <x:f>S86&amp;"|"&amp;T86</x:f>
        <x:v>1994|HHD / Trust</x:v>
      </x:c>
    </x:row>
    <x:row r="87" ht="58" customHeight="1">
      <x:c r="A87" s="312" t="n">
        <x:v>34689.5</x:v>
      </x:c>
      <x:c r="B87" s="315" t="str">
        <x:v>199412210263357</x:v>
      </x:c>
      <x:c r="C87" s="315" t="str">
        <x:v>124512346</x:v>
      </x:c>
      <x:c r="D87" s="303" t="str">
        <x:v>City Centre Investment / City Centre LP</x:v>
      </x:c>
      <x:c r="E87" s="303" t="str">
        <x:v>010-139305 | 175 East Town Street; Disposition Parcel 6</x:v>
      </x:c>
      <x:c r="F87" s="303" t="str">
        <x:v>2.833 acres (123,411.68 square feet)</x:v>
      </x:c>
      <x:c r="G87" s="303" t="str">
        <x:v>General warranty deed</x:v>
      </x:c>
      <x:c r="H87" s="303" t="str">
        <x:v>City Centre Limited Partnership</x:v>
      </x:c>
      <x:c r="I87" s="303" t="str">
        <x:v>Columbus Hospitality Associates, Limited Partnership</x:v>
      </x:c>
      <x:c r="J87" s="303" t="str">
        <x:v>City Centre Management signs as general partner; City Centre Investment signs as limited partner.</x:v>
      </x:c>
      <x:c r="K87" s="303" t="str">
        <x:v>Conveys fee title to the 175 East Town Street parcel.</x:v>
      </x:c>
      <x:c r="L87" s="303" t="str">
        <x:v>$1 and other good and valuable consideration; recorder conveyance-tax figure $5,420.</x:v>
      </x:c>
      <x:c r="M87" s="315" t="str">
        <x:v>OR 11072 G04</x:v>
      </x:c>
      <x:c r="N87" s="315"/>
      <x:c r="O87" s="303" t="str">
        <x:v>https://franklin.oh.publicsearch.us/doc/124512346?department=RP</x:v>
      </x:c>
      <x:c r="P87" s="303" t="str">
        <x:v>Primary recorder images retrieved; OCR reviewed; material pages visually inspected.</x:v>
      </x:c>
      <x:c r="Q87" s="303" t="str">
        <x:v>Conveyance-tax/fee figures are not treated as sale price. Nominal stated consideration is not treated as sale price.</x:v>
      </x:c>
      <x:c r="R87" s="332" t="str">
        <x:f>IF(OR(ISNUMBER(SEARCH("zero public",P87)),ISNUMBER(SEARCH("unavailable",P87))),"Detail only","Image-backed")</x:f>
        <x:v>Image-backed</x:v>
      </x:c>
      <x:c r="S87" s="335" t="n">
        <x:f>IF(ISNUMBER(A87),YEAR(A87),VALUE(LEFT(A87,4)))</x:f>
        <x:v>1994</x:v>
      </x:c>
      <x:c r="T87" s="332" t="str">
        <x:f>IF(OR(ISNUMBER(SEARCH("Cherry",D87)),ISNUMBER(SEARCH("C-Wren",D87))),"Cherry / C-Wren / KG",IF(OR(ISNUMBER(SEARCH("Rocky Fork",D87)),ISNUMBER(SEARCH("N.A. Property",D87))),"Rocky / New Albany",IF(ISNUMBER(SEARCH("Morsham",D87)),"Morsham / Eastern",IF(ISNUMBER(SEARCH("Park Properties",D87)),"Park",IF(OR(ISNUMBER(SEARCH("H.H.D",D87)),ISNUMBER(SEARCH("Family Property Trust",D87))),"HHD / Trust","Other")))))</x:f>
        <x:v>Other</x:v>
      </x:c>
      <x:c r="U87" s="332" t="str">
        <x:f>S87&amp;"|"&amp;T87</x:f>
        <x:v>1994|Other</x:v>
      </x:c>
    </x:row>
    <x:row r="88" ht="58" customHeight="1">
      <x:c r="A88" s="312" t="n">
        <x:v>34719.5</x:v>
      </x:c>
      <x:c r="B88" s="315" t="str">
        <x:v>199501200051915</x:v>
      </x:c>
      <x:c r="C88" s="315" t="str">
        <x:v>124529648</x:v>
      </x:c>
      <x:c r="D88" s="303" t="str">
        <x:v>City Centre Investment / City Centre LP</x:v>
      </x:c>
      <x:c r="E88" s="303" t="str">
        <x:v>No parcel restated; partnership wind-up after 175 East Town disposition</x:v>
      </x:c>
      <x:c r="F88" s="303"/>
      <x:c r="G88" s="303" t="str">
        <x:v>Termination/cancellation of limited-partnership certificate</x:v>
      </x:c>
      <x:c r="H88" s="303" t="str">
        <x:v>City Centre Limited Partnership</x:v>
      </x:c>
      <x:c r="I88" s="303" t="str">
        <x:v>Partners (asset recipients not individually identified)</x:v>
      </x:c>
      <x:c r="J88" s="303" t="str">
        <x:v>Certificate says partnership dissolved, affairs wound up, and assets distributed to partners.</x:v>
      </x:c>
      <x:c r="K88" s="303" t="str">
        <x:v>Terminates partnership registration; does not identify who received any residual real property.</x:v>
      </x:c>
      <x:c r="L88" s="303"/>
      <x:c r="M88" s="315" t="str">
        <x:v>198712310221555 / OR 11001 G12; 199412210263357</x:v>
      </x:c>
      <x:c r="N88" s="315"/>
      <x:c r="O88" s="303" t="str">
        <x:v>https://franklin.oh.publicsearch.us/doc/124529648?department=RP</x:v>
      </x:c>
      <x:c r="P88" s="303" t="str">
        <x:v>Primary recorder images retrieved; OCR reviewed; material pages visually inspected.</x:v>
      </x:c>
      <x:c r="Q88" s="303" t="str">
        <x:v>Do not infer a specific asset recipient or merger survivor from generic distribution wording.</x:v>
      </x:c>
      <x:c r="R88" s="332" t="str">
        <x:f>IF(OR(ISNUMBER(SEARCH("zero public",P88)),ISNUMBER(SEARCH("unavailable",P88))),"Detail only","Image-backed")</x:f>
        <x:v>Image-backed</x:v>
      </x:c>
      <x:c r="S88" s="335" t="n">
        <x:f>IF(ISNUMBER(A88),YEAR(A88),VALUE(LEFT(A88,4)))</x:f>
        <x:v>1995</x:v>
      </x:c>
      <x:c r="T88" s="332" t="str">
        <x:f>IF(OR(ISNUMBER(SEARCH("Cherry",D88)),ISNUMBER(SEARCH("C-Wren",D88))),"Cherry / C-Wren / KG",IF(OR(ISNUMBER(SEARCH("Rocky Fork",D88)),ISNUMBER(SEARCH("N.A. Property",D88))),"Rocky / New Albany",IF(ISNUMBER(SEARCH("Morsham",D88)),"Morsham / Eastern",IF(ISNUMBER(SEARCH("Park Properties",D88)),"Park",IF(OR(ISNUMBER(SEARCH("H.H.D",D88)),ISNUMBER(SEARCH("Family Property Trust",D88))),"HHD / Trust","Other")))))</x:f>
        <x:v>Other</x:v>
      </x:c>
      <x:c r="U88" s="332" t="str">
        <x:f>S88&amp;"|"&amp;T88</x:f>
        <x:v>1995|Other</x:v>
      </x:c>
    </x:row>
    <x:row r="89" ht="58" customHeight="1">
      <x:c r="A89" s="312" t="n">
        <x:v>34761.5</x:v>
      </x:c>
      <x:c r="B89" s="315" t="str">
        <x:v>199503030071294</x:v>
      </x:c>
      <x:c r="C89" s="315" t="str">
        <x:v>124553156</x:v>
      </x:c>
      <x:c r="D89" s="303" t="str">
        <x:v>Morsham Land / Eastern Ohio Holding / New Albany</x:v>
      </x:c>
      <x:c r="E89" s="303" t="str">
        <x:v>Not stated on face; parent tract is the OR 11024A15 property. | 0.360-acre storm-sewer easement across the Morsham tract in Quarter Township 4, Township 2, Range 17; project SR 161 and Hamilton Road Storm Sewer CC-9157-2.</x:v>
      </x:c>
      <x:c r="F89" s="303" t="str">
        <x:v>0.360 acres</x:v>
      </x:c>
      <x:c r="G89" s="303" t="str">
        <x:v>Storm-sewer Easement</x:v>
      </x:c>
      <x:c r="H89" s="303" t="str">
        <x:v>Morsham Land Corporation</x:v>
      </x:c>
      <x:c r="I89" s="303" t="str">
        <x:v>City of Columbus</x:v>
      </x:c>
      <x:c r="J89" s="303" t="str">
        <x:v>Morsham acts as owner/grantor; no merger or successor wording.</x:v>
      </x:c>
      <x:c r="K89" s="303" t="str">
        <x:v>MATERIAL OPERATIONAL RECORD. It confirms Morsham granted a municipal storm-sewer easement shortly before the 1995 merger date.</x:v>
      </x:c>
      <x:c r="L89" s="303" t="str">
        <x:v>$1 and other good and valuable consideration.</x:v>
      </x:c>
      <x:c r="M89" s="315" t="str">
        <x:v>Morsham source deed OR 11024A15.</x:v>
      </x:c>
      <x:c r="N89" s="315"/>
      <x:c r="O89" s="303" t="str">
        <x:v>https://franklin.oh.publicsearch.us/doc/124553156?department=RP</x:v>
      </x:c>
      <x:c r="P89" s="303" t="str">
        <x:v>Primary recorder images; every page OCRed; deed face, execution, acknowledgment, legal description, map, transfer-exempt notation, preparer, and return address visually verified.</x:v>
      </x:c>
      <x:c r="Q89" s="303" t="str">
        <x:v>Nominal stated consideration is not treated as sale price. Execution/effective date: 1995-02-21. Easement affects rights/use but does not transfer the fee.</x:v>
      </x:c>
      <x:c r="R89" s="332" t="str">
        <x:f>IF(OR(ISNUMBER(SEARCH("zero public",P89)),ISNUMBER(SEARCH("unavailable",P89))),"Detail only","Image-backed")</x:f>
        <x:v>Image-backed</x:v>
      </x:c>
      <x:c r="S89" s="335" t="n">
        <x:f>IF(ISNUMBER(A89),YEAR(A89),VALUE(LEFT(A89,4)))</x:f>
        <x:v>1995</x:v>
      </x:c>
      <x:c r="T89" s="332" t="str">
        <x:f>IF(OR(ISNUMBER(SEARCH("Cherry",D89)),ISNUMBER(SEARCH("C-Wren",D89))),"Cherry / C-Wren / KG",IF(OR(ISNUMBER(SEARCH("Rocky Fork",D89)),ISNUMBER(SEARCH("N.A. Property",D89))),"Rocky / New Albany",IF(ISNUMBER(SEARCH("Morsham",D89)),"Morsham / Eastern",IF(ISNUMBER(SEARCH("Park Properties",D89)),"Park",IF(OR(ISNUMBER(SEARCH("H.H.D",D89)),ISNUMBER(SEARCH("Family Property Trust",D89))),"HHD / Trust","Other")))))</x:f>
        <x:v>Morsham / Eastern</x:v>
      </x:c>
      <x:c r="U89" s="332" t="str">
        <x:f>S89&amp;"|"&amp;T89</x:f>
        <x:v>1995|Morsham / Eastern</x:v>
      </x:c>
    </x:row>
    <x:row r="90" ht="58" customHeight="1">
      <x:c r="A90" s="312" t="n">
        <x:v>34820.5</x:v>
      </x:c>
      <x:c r="B90" s="315" t="str">
        <x:v>199505010100017</x:v>
      </x:c>
      <x:c r="C90" s="315" t="str">
        <x:v>124588935</x:v>
      </x:c>
      <x:c r="D90" s="303" t="str">
        <x:v>Cherry Bottom Properties / Investors</x:v>
      </x:c>
      <x:c r="E90" s="303" t="str">
        <x:v>Part of 025-10027 | 2.241-acre tract, part of Lot 2, Cherry Bottom Commerce Park; subject to pedestrian/bikeway restriction; acreage/area: 2.241</x:v>
      </x:c>
      <x:c r="F90" s="303" t="str">
        <x:v>2.241 acres</x:v>
      </x:c>
      <x:c r="G90" s="303" t="str">
        <x:v>GENERAL WARRANTY DEED</x:v>
      </x:c>
      <x:c r="H90" s="303" t="str">
        <x:v>Cherry Bottom Properties, Inc.; Thomas H. Lurie; Nancy N. Lurie</x:v>
      </x:c>
      <x:c r="I90" s="303" t="str">
        <x:v>HER, Inc., an Ohio corporation</x:v>
      </x:c>
      <x:c r="J90" s="303" t="str">
        <x:v>Cherry Bottom Properties, Inc. and the Luries execute as direct co-grantors. No successor-by-merger recital.</x:v>
      </x:c>
      <x:c r="K90" s="303" t="str">
        <x:v>Face p. 1 states: “does hereby GRANT, BARGAIN, SELL AND CONVEY to HER, INC., an Ohio corporation.” Kofile index omits HER, Inc. and incorrectly places the Luries in the grantee field. $10 is deed consideration; $186 is recorder/index conveyance tax.</x:v>
      </x:c>
      <x:c r="L90" s="303" t="str">
        <x:v>Document face: $10 and other good and valuable consideration; Recorder/index tax or amount: $186 conveyance tax/index amount</x:v>
      </x:c>
      <x:c r="M90" s="315" t="str">
        <x:v>Prior: OR 16658J11; OR 11253J11; next/marginal: None stated</x:v>
      </x:c>
      <x:c r="N90" s="315" t="str">
        <x:v>next/marginal None stated</x:v>
      </x:c>
      <x:c r="O90" s="303" t="str">
        <x:v>https://franklin.oh.publicsearch.us/doc/124588935?department=RP</x:v>
      </x:c>
      <x:c r="P90" s="303" t="str">
        <x:v>Primary recorder images; all pages reviewed through OCR and the cited pages visually checked (visual_primary_contradicts_party_index).</x:v>
      </x:c>
      <x:c r="Q90" s="303" t="str">
        <x:v>Conveyance-tax/fee figures are not treated as sale price. Nominal stated consideration is not treated as sale price. Execution/effective date: 1995-04-27.</x:v>
      </x:c>
      <x:c r="R90" s="332" t="str">
        <x:f>IF(OR(ISNUMBER(SEARCH("zero public",P90)),ISNUMBER(SEARCH("unavailable",P90))),"Detail only","Image-backed")</x:f>
        <x:v>Image-backed</x:v>
      </x:c>
      <x:c r="S90" s="335" t="n">
        <x:f>IF(ISNUMBER(A90),YEAR(A90),VALUE(LEFT(A90,4)))</x:f>
        <x:v>1995</x:v>
      </x:c>
      <x:c r="T90" s="332" t="str">
        <x:f>IF(OR(ISNUMBER(SEARCH("Cherry",D90)),ISNUMBER(SEARCH("C-Wren",D90))),"Cherry / C-Wren / KG",IF(OR(ISNUMBER(SEARCH("Rocky Fork",D90)),ISNUMBER(SEARCH("N.A. Property",D90))),"Rocky / New Albany",IF(ISNUMBER(SEARCH("Morsham",D90)),"Morsham / Eastern",IF(ISNUMBER(SEARCH("Park Properties",D90)),"Park",IF(OR(ISNUMBER(SEARCH("H.H.D",D90)),ISNUMBER(SEARCH("Family Property Trust",D90))),"HHD / Trust","Other")))))</x:f>
        <x:v>Cherry / C-Wren / KG</x:v>
      </x:c>
      <x:c r="U90" s="332" t="str">
        <x:f>S90&amp;"|"&amp;T90</x:f>
        <x:v>1995|Cherry / C-Wren / KG</x:v>
      </x:c>
    </x:row>
    <x:row r="91" ht="58" customHeight="1">
      <x:c r="A91" s="312" t="n">
        <x:v>34890.5</x:v>
      </x:c>
      <x:c r="B91" s="315" t="str">
        <x:v>199507100139365</x:v>
      </x:c>
      <x:c r="C91" s="315" t="str">
        <x:v>124636353</x:v>
      </x:c>
      <x:c r="D91" s="303" t="str">
        <x:v>Morsham Land / Eastern Ohio Holding / New Albany</x:v>
      </x:c>
      <x:c r="E91" s="303" t="str">
        <x:v>Morsham parent parcels 545-147940; 545-147941 | Access easements connect Qualstan's 58.209-acre tract across the Other Property; Black Sheep owns 20.810-acre Tract I and Morsham owns Tract II, the original 50.086-acre tract.</x:v>
      </x:c>
      <x:c r="F91" s="303" t="str">
        <x:v>58.209 acres; 20.810 acres; 50.086 acres</x:v>
      </x:c>
      <x:c r="G91" s="303" t="str">
        <x:v>Deed of Easement and Agreement</x:v>
      </x:c>
      <x:c r="H91" s="303" t="str">
        <x:v>The Qualstan Corporation; The New Albany Company Limited Partnership; Black Sheep Farms, Inc.; Morsham Land Corporation</x:v>
      </x:c>
      <x:c r="I91" s="303" t="str">
        <x:v>The same four parties in reciprocal roles under the access-easement agreement</x:v>
      </x:c>
      <x:c r="J91" s="303" t="str">
        <x:v>Morsham is expressly called fee-simple owner of Tract II, labeled the New Albany Property. The document predates the asserted 1995-12-29 merger and contains no successor wording.</x:v>
      </x:c>
      <x:c r="K91" s="303" t="str">
        <x:v>MATERIAL CLUSTER RECORD. It directly shows Morsham as fee owner while sharing the 5906 address and a coordinated easement instrument with New Albany and Black Sheep; this is operational linkage, not proof of common ownership.</x:v>
      </x:c>
      <x:c r="L91" s="303" t="str">
        <x:v>Transfer exempt; operative consideration arises from the parties' access and maintenance covenants rather than a stated purchase price.</x:v>
      </x:c>
      <x:c r="M91" s="315" t="str">
        <x:v>Morsham source deed OR 11024A15; legal exhibits and drawing identify the related tracts.</x:v>
      </x:c>
      <x:c r="N91" s="315"/>
      <x:c r="O91" s="303" t="str">
        <x:v>https://franklin.oh.publicsearch.us/doc/124636353?department=RP</x:v>
      </x:c>
      <x:c r="P91" s="303" t="str">
        <x:v>Primary recorder images; every page OCRed; parties, addresses, ownership recitals, easement terms, execution pages, legal descriptions, map, and return/preparation block visually reviewed.</x:v>
      </x:c>
      <x:c r="Q91" s="303" t="str">
        <x:v>Execution/effective date: 1995-07-07. Easement affects rights/use but does not transfer the fee.</x:v>
      </x:c>
      <x:c r="R91" s="332" t="str">
        <x:f>IF(OR(ISNUMBER(SEARCH("zero public",P91)),ISNUMBER(SEARCH("unavailable",P91))),"Detail only","Image-backed")</x:f>
        <x:v>Image-backed</x:v>
      </x:c>
      <x:c r="S91" s="335" t="n">
        <x:f>IF(ISNUMBER(A91),YEAR(A91),VALUE(LEFT(A91,4)))</x:f>
        <x:v>1995</x:v>
      </x:c>
      <x:c r="T91" s="332" t="str">
        <x:f>IF(OR(ISNUMBER(SEARCH("Cherry",D91)),ISNUMBER(SEARCH("C-Wren",D91))),"Cherry / C-Wren / KG",IF(OR(ISNUMBER(SEARCH("Rocky Fork",D91)),ISNUMBER(SEARCH("N.A. Property",D91))),"Rocky / New Albany",IF(ISNUMBER(SEARCH("Morsham",D91)),"Morsham / Eastern",IF(ISNUMBER(SEARCH("Park Properties",D91)),"Park",IF(OR(ISNUMBER(SEARCH("H.H.D",D91)),ISNUMBER(SEARCH("Family Property Trust",D91))),"HHD / Trust","Other")))))</x:f>
        <x:v>Morsham / Eastern</x:v>
      </x:c>
      <x:c r="U91" s="332" t="str">
        <x:f>S91&amp;"|"&amp;T91</x:f>
        <x:v>1995|Morsham / Eastern</x:v>
      </x:c>
    </x:row>
    <x:row r="92" ht="58" customHeight="1">
      <x:c r="A92" s="312" t="n">
        <x:v>34897.5</x:v>
      </x:c>
      <x:c r="B92" s="315" t="str">
        <x:v>199507170142473</x:v>
      </x:c>
      <x:c r="C92" s="315" t="str">
        <x:v>124640745</x:v>
      </x:c>
      <x:c r="D92" s="303" t="str">
        <x:v>Cherry Bottom Properties / Investors</x:v>
      </x:c>
      <x:c r="E92" s="303" t="str">
        <x:v>025-010029 | Parts of Lots 3 and 4, Cherry Bottom Commerce Park; acreage/area: 2.733</x:v>
      </x:c>
      <x:c r="F92" s="303"/>
      <x:c r="G92" s="303" t="str">
        <x:v>GENERAL WARRANTY DEED</x:v>
      </x:c>
      <x:c r="H92" s="303" t="str">
        <x:v>Cherry Bottom Properties, Inc.; Thomas H. Lurie; Nancy N. Lurie</x:v>
      </x:c>
      <x:c r="I92" s="303" t="str">
        <x:v>Chelsea Partnership, an Ohio general partnership</x:v>
      </x:c>
      <x:c r="J92" s="303" t="str">
        <x:v>Cherry Bottom Properties, Inc. and the Luries execute as direct co-grantors. No successor-by-merger recital.</x:v>
      </x:c>
      <x:c r="K92" s="303" t="str">
        <x:v>$10 is deed consideration; $375 is recorder/index conveyance tax.</x:v>
      </x:c>
      <x:c r="L92" s="303" t="str">
        <x:v>Document face: $10 and other good and valuable consideration; Recorder/index tax or amount: $375 conveyance tax/index amount</x:v>
      </x:c>
      <x:c r="M92" s="315" t="str">
        <x:v>Prior: OR 16658J11; OR 11253J11; next/marginal: 199507170142474 (companion cross-easement agreement recorded immediately afterward)</x:v>
      </x:c>
      <x:c r="N92" s="315" t="str">
        <x:v>next/marginal 199507170142474 (companion cross-easement agreement recorded immediately afterward)</x:v>
      </x:c>
      <x:c r="O92" s="303" t="str">
        <x:v>https://franklin.oh.publicsearch.us/doc/124640745?department=RP</x:v>
      </x:c>
      <x:c r="P92" s="303" t="str">
        <x:v>Primary recorder images; all pages reviewed through OCR and the cited pages visually checked (visual_primary_plus_ocr).</x:v>
      </x:c>
      <x:c r="Q92" s="303" t="str">
        <x:v>Conveyance-tax/fee figures are not treated as sale price. Nominal stated consideration is not treated as sale price. Execution/effective date: 1995-07-13 (Cherry Bottom Properties, Inc.); 1995-07-14 (Luries acknowledged).</x:v>
      </x:c>
      <x:c r="R92" s="332" t="str">
        <x:f>IF(OR(ISNUMBER(SEARCH("zero public",P92)),ISNUMBER(SEARCH("unavailable",P92))),"Detail only","Image-backed")</x:f>
        <x:v>Image-backed</x:v>
      </x:c>
      <x:c r="S92" s="335" t="n">
        <x:f>IF(ISNUMBER(A92),YEAR(A92),VALUE(LEFT(A92,4)))</x:f>
        <x:v>1995</x:v>
      </x:c>
      <x:c r="T92" s="332" t="str">
        <x:f>IF(OR(ISNUMBER(SEARCH("Cherry",D92)),ISNUMBER(SEARCH("C-Wren",D92))),"Cherry / C-Wren / KG",IF(OR(ISNUMBER(SEARCH("Rocky Fork",D92)),ISNUMBER(SEARCH("N.A. Property",D92))),"Rocky / New Albany",IF(ISNUMBER(SEARCH("Morsham",D92)),"Morsham / Eastern",IF(ISNUMBER(SEARCH("Park Properties",D92)),"Park",IF(OR(ISNUMBER(SEARCH("H.H.D",D92)),ISNUMBER(SEARCH("Family Property Trust",D92))),"HHD / Trust","Other")))))</x:f>
        <x:v>Cherry / C-Wren / KG</x:v>
      </x:c>
      <x:c r="U92" s="332" t="str">
        <x:f>S92&amp;"|"&amp;T92</x:f>
        <x:v>1995|Cherry / C-Wren / KG</x:v>
      </x:c>
    </x:row>
    <x:row r="93" ht="58" customHeight="1">
      <x:c r="A93" s="312" t="n">
        <x:v>34897.5</x:v>
      </x:c>
      <x:c r="B93" s="315" t="str">
        <x:v>199507170142474</x:v>
      </x:c>
      <x:c r="C93" s="315" t="str">
        <x:v>124640842</x:v>
      </x:c>
      <x:c r="D93" s="303" t="str">
        <x:v>Cherry Bottom Properties / Investors</x:v>
      </x:c>
      <x:c r="E93" s="303" t="str">
        <x:v>Developer Parcel 1, 1.619 acres in parts of Lots 3 and 4; Chelsea Parcel 2, 2.733 acres in parts of Lots 3 and 4; reciprocal access strips of 0.048 and 0.068 acre; drive maintenance split 50/50; acreage/area: 1.619; 2.733; access strips 0.048 and 0.068</x:v>
      </x:c>
      <x:c r="F93" s="303" t="str">
        <x:v>1.619 acres; 2.733 acres; 0.068 acre</x:v>
      </x:c>
      <x:c r="G93" s="303" t="str">
        <x:v>CROSS EASEMENT AND MAINTENANCE AGREEMENT</x:v>
      </x:c>
      <x:c r="H93" s="303" t="str">
        <x:v>Thomas H. Lurie; Nancy N. Lurie; Cherry Bottom Properties, Inc., collectively Developer</x:v>
      </x:c>
      <x:c r="I93" s="303" t="str">
        <x:v>Chelsea Partnership, an Ohio general partnership; reciprocal benefits also run to Developer</x:v>
      </x:c>
      <x:c r="J93" s="303" t="str">
        <x:v>Cherry Bottom Properties, Inc. and the Luries are collectively defined as Developer; Chelsea is the reciprocal counterparty. No successor-by-merger recital.</x:v>
      </x:c>
      <x:c r="K93" s="303" t="str">
        <x:v>The printed Developer address is 5609, not the 5906 address used on several deeds. Companion deed 199507170142473 immediately precedes this agreement.</x:v>
      </x:c>
      <x:c r="L93" s="303" t="str">
        <x:v>Document face: Mutual covenants and consideration; no monetary amount stated; Recorder/index tax or amount: Transfer-exempt; Lender/debt: No present lender; agreement requires first-mortgage-holder consent for future substantive amendments</x:v>
      </x:c>
      <x:c r="M93" s="315" t="str">
        <x:v>Prior: Plat Book 76, page 49; companion deed 199507170142473; next/marginal: None stated</x:v>
      </x:c>
      <x:c r="N93" s="315" t="str">
        <x:v>next/marginal None stated</x:v>
      </x:c>
      <x:c r="O93" s="303" t="str">
        <x:v>https://franklin.oh.publicsearch.us/doc/124640842?department=RP</x:v>
      </x:c>
      <x:c r="P93" s="303" t="str">
        <x:v>Primary recorder images; all pages reviewed through OCR and the cited pages visually checked (visual_primary_plus_ocr).</x:v>
      </x:c>
      <x:c r="Q93" s="303" t="str">
        <x:v>Execution/effective date: 1995-07-13. Easement affects rights/use but does not transfer the fee.</x:v>
      </x:c>
      <x:c r="R93" s="332" t="str">
        <x:f>IF(OR(ISNUMBER(SEARCH("zero public",P93)),ISNUMBER(SEARCH("unavailable",P93))),"Detail only","Image-backed")</x:f>
        <x:v>Image-backed</x:v>
      </x:c>
      <x:c r="S93" s="335" t="n">
        <x:f>IF(ISNUMBER(A93),YEAR(A93),VALUE(LEFT(A93,4)))</x:f>
        <x:v>1995</x:v>
      </x:c>
      <x:c r="T93" s="332" t="str">
        <x:f>IF(OR(ISNUMBER(SEARCH("Cherry",D93)),ISNUMBER(SEARCH("C-Wren",D93))),"Cherry / C-Wren / KG",IF(OR(ISNUMBER(SEARCH("Rocky Fork",D93)),ISNUMBER(SEARCH("N.A. Property",D93))),"Rocky / New Albany",IF(ISNUMBER(SEARCH("Morsham",D93)),"Morsham / Eastern",IF(ISNUMBER(SEARCH("Park Properties",D93)),"Park",IF(OR(ISNUMBER(SEARCH("H.H.D",D93)),ISNUMBER(SEARCH("Family Property Trust",D93))),"HHD / Trust","Other")))))</x:f>
        <x:v>Cherry / C-Wren / KG</x:v>
      </x:c>
      <x:c r="U93" s="332" t="str">
        <x:f>S93&amp;"|"&amp;T93</x:f>
        <x:v>1995|Cherry / C-Wren / KG</x:v>
      </x:c>
    </x:row>
    <x:row r="94" ht="58" customHeight="1">
      <x:c r="A94" s="312" t="n">
        <x:v>35023.5</x:v>
      </x:c>
      <x:c r="B94" s="315" t="str">
        <x:v>199511200215267</x:v>
      </x:c>
      <x:c r="C94" s="315" t="str">
        <x:v>124728794</x:v>
      </x:c>
      <x:c r="D94" s="303" t="str">
        <x:v>Cherry Bottom Properties / Investors</x:v>
      </x:c>
      <x:c r="E94" s="303" t="str">
        <x:v>Amends setback and signage restrictions; does not restate full legal descriptions in the recorded image set; acreage/area: Not restated</x:v>
      </x:c>
      <x:c r="F94" s="303"/>
      <x:c r="G94" s="303" t="str">
        <x:v>AMENDMENT TO RESTRICTIONS, CONDITIONS, COVENANTS AND OBLIGATIONS</x:v>
      </x:c>
      <x:c r="H94" s="303" t="str">
        <x:v>Cherry Bottom Properties, Inc.; Thomas H. Lurie; Nancy N. Lurie; Gahanna Medical Limited Partnership; Chelsea Partnership; HER, Inc.; United Dairy Farmers, Inc.; Block Investments, Inc.; consenting mortgagees</x:v>
      </x:c>
      <x:c r="I94" s="303" t="str">
        <x:v>Owners of and mortgagees affecting the burdened properties</x:v>
      </x:c>
      <x:c r="J94" s="303" t="str">
        <x:v>Cherry Bottom Properties, Inc. appears as an Owner alongside the Luries and later parcel owners; named mortgagees consent. No successor-by-merger recital.</x:v>
      </x:c>
      <x:c r="K94" s="303" t="str">
        <x:v>Owner/mortgagee snapshot. Mortgage amounts are not stated. Some handwritten officer surnames are reported with explicit uncertainty. Page 1 was visually checked and reads OR 16071F14; the OCR/wave-B draft's OR 16971F14 was a transcription error.</x:v>
      </x:c>
      <x:c r="L94" s="303" t="str">
        <x:v>Document face: Good and valuable consideration; no monetary amount stated; Recorder/index tax or amount: Transfer-exempt; Lender/debt: The Huntington National Bank, mortgage OR 28176A01; BancOhio National Bank, now known as National City Bank, Columbus, mortgages OR 19987D16 and OR 24452F08; National City Bank, Columbus, mortgage OR 24539D20; amounts not stated</x:v>
      </x:c>
      <x:c r="M94" s="315" t="str">
        <x:v>Prior: OR 16071F14; OR 18561D02; OR 24539C13; OR 24539D06; mortgage references OR 28176A01, OR 19987D16, OR 24452F08, OR 24539D20; next/marginal: None stated</x:v>
      </x:c>
      <x:c r="N94" s="315" t="str">
        <x:v>next/marginal None stated</x:v>
      </x:c>
      <x:c r="O94" s="303" t="str">
        <x:v>https://franklin.oh.publicsearch.us/doc/124728794?department=RP</x:v>
      </x:c>
      <x:c r="P94" s="303" t="str">
        <x:v>Primary recorder images; all pages reviewed through OCR and the cited pages visually checked (visual_primary_plus_ocr).</x:v>
      </x:c>
      <x:c r="Q94" s="303" t="str">
        <x:v>Execution/effective date: 1995-10-18 (made as of; signatures/acknowledgments span 1995-08-17 to 1995-11-07).</x:v>
      </x:c>
      <x:c r="R94" s="332" t="str">
        <x:f>IF(OR(ISNUMBER(SEARCH("zero public",P94)),ISNUMBER(SEARCH("unavailable",P94))),"Detail only","Image-backed")</x:f>
        <x:v>Image-backed</x:v>
      </x:c>
      <x:c r="S94" s="335" t="n">
        <x:f>IF(ISNUMBER(A94),YEAR(A94),VALUE(LEFT(A94,4)))</x:f>
        <x:v>1995</x:v>
      </x:c>
      <x:c r="T94" s="332" t="str">
        <x:f>IF(OR(ISNUMBER(SEARCH("Cherry",D94)),ISNUMBER(SEARCH("C-Wren",D94))),"Cherry / C-Wren / KG",IF(OR(ISNUMBER(SEARCH("Rocky Fork",D94)),ISNUMBER(SEARCH("N.A. Property",D94))),"Rocky / New Albany",IF(ISNUMBER(SEARCH("Morsham",D94)),"Morsham / Eastern",IF(ISNUMBER(SEARCH("Park Properties",D94)),"Park",IF(OR(ISNUMBER(SEARCH("H.H.D",D94)),ISNUMBER(SEARCH("Family Property Trust",D94))),"HHD / Trust","Other")))))</x:f>
        <x:v>Cherry / C-Wren / KG</x:v>
      </x:c>
      <x:c r="U94" s="332" t="str">
        <x:f>S94&amp;"|"&amp;T94</x:f>
        <x:v>1995|Cherry / C-Wren / KG</x:v>
      </x:c>
    </x:row>
    <x:row r="95" ht="58" customHeight="1">
      <x:c r="A95" s="312" t="n">
        <x:v>35191.5</x:v>
      </x:c>
      <x:c r="B95" s="315" t="str">
        <x:v>199605060113659</x:v>
      </x:c>
      <x:c r="C95" s="315" t="str">
        <x:v>124841036</x:v>
      </x:c>
      <x:c r="D95" s="303" t="str">
        <x:v>Cherry Bottom Properties / Investors</x:v>
      </x:c>
      <x:c r="E95" s="303" t="str">
        <x:v>Underground communications easement, 10 feet by 520 feet, across parts of Lots 3 and 4, Cherry Bottom Commerce Park; acreage/area: Approximately 0.119 (10 feet by 520 feet)</x:v>
      </x:c>
      <x:c r="F95" s="303"/>
      <x:c r="G95" s="303" t="str">
        <x:v>EASEMENT</x:v>
      </x:c>
      <x:c r="H95" s="303" t="str">
        <x:v>Cherry Bottom Properties, Inc.; Thomas H. Lurie; Nancy N. Lurie</x:v>
      </x:c>
      <x:c r="I95" s="303" t="str">
        <x:v>The Ohio Bell Telephone Company, its successors and assigns</x:v>
      </x:c>
      <x:c r="J95" s="303" t="str">
        <x:v>Cherry Bottom Properties, Inc. and the Luries execute as direct co-grantors of the utility easement. No successor-by-merger recital.</x:v>
      </x:c>
      <x:c r="K95" s="303" t="str">
        <x:v>No lender or loan amount. Recording time is too faint to report confidently.</x:v>
      </x:c>
      <x:c r="L95" s="303" t="str">
        <x:v>Document face: $1 and other good and valuable consideration; Recorder/index tax or amount: Transfer-exempt / no conveyance tax stated</x:v>
      </x:c>
      <x:c r="M95" s="315" t="str">
        <x:v>Prior: OR 11253J11; OR 16658J11; next/marginal: None stated</x:v>
      </x:c>
      <x:c r="N95" s="315" t="str">
        <x:v>next/marginal None stated</x:v>
      </x:c>
      <x:c r="O95" s="303" t="str">
        <x:v>https://franklin.oh.publicsearch.us/doc/124841036?department=RP</x:v>
      </x:c>
      <x:c r="P95" s="303" t="str">
        <x:v>Primary recorder images; all pages reviewed through OCR and the cited pages visually checked (visual_primary_plus_ocr).</x:v>
      </x:c>
      <x:c r="Q95" s="303" t="str">
        <x:v>Conveyance-tax/fee figures are not treated as sale price. Nominal stated consideration is not treated as sale price. Execution/effective date: 1996-04-15 (Cherry Bottom Properties, Inc.); 1996-04-25 (Luries). Easement affects rights/use but does not transfer the fee.</x:v>
      </x:c>
      <x:c r="R95" s="332" t="str">
        <x:f>IF(OR(ISNUMBER(SEARCH("zero public",P95)),ISNUMBER(SEARCH("unavailable",P95))),"Detail only","Image-backed")</x:f>
        <x:v>Image-backed</x:v>
      </x:c>
      <x:c r="S95" s="335" t="n">
        <x:f>IF(ISNUMBER(A95),YEAR(A95),VALUE(LEFT(A95,4)))</x:f>
        <x:v>1996</x:v>
      </x:c>
      <x:c r="T95" s="332" t="str">
        <x:f>IF(OR(ISNUMBER(SEARCH("Cherry",D95)),ISNUMBER(SEARCH("C-Wren",D95))),"Cherry / C-Wren / KG",IF(OR(ISNUMBER(SEARCH("Rocky Fork",D95)),ISNUMBER(SEARCH("N.A. Property",D95))),"Rocky / New Albany",IF(ISNUMBER(SEARCH("Morsham",D95)),"Morsham / Eastern",IF(ISNUMBER(SEARCH("Park Properties",D95)),"Park",IF(OR(ISNUMBER(SEARCH("H.H.D",D95)),ISNUMBER(SEARCH("Family Property Trust",D95))),"HHD / Trust","Other")))))</x:f>
        <x:v>Cherry / C-Wren / KG</x:v>
      </x:c>
      <x:c r="U95" s="332" t="str">
        <x:f>S95&amp;"|"&amp;T95</x:f>
        <x:v>1996|Cherry / C-Wren / KG</x:v>
      </x:c>
    </x:row>
    <x:row r="96" ht="58" customHeight="1">
      <x:c r="A96" s="312" t="n">
        <x:v>35306.5</x:v>
      </x:c>
      <x:c r="B96" s="315" t="str">
        <x:v>199608290027759</x:v>
      </x:c>
      <x:c r="C96" s="315" t="str">
        <x:v>124925912</x:v>
      </x:c>
      <x:c r="D96" s="303" t="str">
        <x:v>Park Properties / C.H. Development Group</x:v>
      </x:c>
      <x:c r="E96" s="303" t="str">
        <x:v>No legal description in official detail; remark/address: 903 Rarig [portal variant Rerig], Columbus, Ohio</x:v>
      </x:c>
      <x:c r="F96" s="303"/>
      <x:c r="G96" s="303" t="str">
        <x:v>Release of Financing Statement (REFS)</x:v>
      </x:c>
      <x:c r="H96" s="303" t="str">
        <x:v>Terri Cravener; Steven Cravener</x:v>
      </x:c>
      <x:c r="I96" s="303" t="str">
        <x:v>No secured party/releasing party indexed</x:v>
      </x:c>
      <x:c r="J96" s="303" t="str">
        <x:v>Portal-marginally linked UCC release; Park is not indexed; relationship unresolved</x:v>
      </x:c>
      <x:c r="K96" s="303" t="str">
        <x:v>Portal-only UCC/fixture record is marginally linked to the Park family; content and secured party remain unresolved.</x:v>
      </x:c>
      <x:c r="L96" s="303" t="str">
        <x:v>None stated; Not applicable; UCC release; Unknown; public image unavailable</x:v>
      </x:c>
      <x:c r="M96" s="315" t="str">
        <x:v>198402030051783; 199309080030750</x:v>
      </x:c>
      <x:c r="N96" s="315" t="str">
        <x:v>None shown</x:v>
      </x:c>
      <x:c r="O96" s="303" t="str">
        <x:v>https://franklin.oh.publicsearch.us/doc/124925912?department=RP</x:v>
      </x:c>
      <x:c r="P96" s="303" t="str">
        <x:v>Official detail only; zero public page URLs and no OCR/image</x:v>
      </x:c>
      <x:c r="Q96" s="303" t="str">
        <x:v>The mutual marginal chain is real portal metadata, but absent images and absent Park party indexing prevent identifying the secured party or proving a Park successor, assignment, or post-dissolution act.</x:v>
      </x:c>
      <x:c r="R96" s="332" t="str">
        <x:f>IF(OR(ISNUMBER(SEARCH("zero public",P96)),ISNUMBER(SEARCH("unavailable",P96))),"Detail only","Image-backed")</x:f>
        <x:v>Detail only</x:v>
      </x:c>
      <x:c r="S96" s="335" t="n">
        <x:f>IF(ISNUMBER(A96),YEAR(A96),VALUE(LEFT(A96,4)))</x:f>
        <x:v>1996</x:v>
      </x:c>
      <x:c r="T96" s="332" t="str">
        <x:f>IF(OR(ISNUMBER(SEARCH("Cherry",D96)),ISNUMBER(SEARCH("C-Wren",D96))),"Cherry / C-Wren / KG",IF(OR(ISNUMBER(SEARCH("Rocky Fork",D96)),ISNUMBER(SEARCH("N.A. Property",D96))),"Rocky / New Albany",IF(ISNUMBER(SEARCH("Morsham",D96)),"Morsham / Eastern",IF(ISNUMBER(SEARCH("Park Properties",D96)),"Park",IF(OR(ISNUMBER(SEARCH("H.H.D",D96)),ISNUMBER(SEARCH("Family Property Trust",D96))),"HHD / Trust","Other")))))</x:f>
        <x:v>Park</x:v>
      </x:c>
      <x:c r="U96" s="332" t="str">
        <x:f>S96&amp;"|"&amp;T96</x:f>
        <x:v>1996|Park</x:v>
      </x:c>
    </x:row>
    <x:row r="97" ht="58" customHeight="1">
      <x:c r="A97" s="312" t="n">
        <x:v>35361.5</x:v>
      </x:c>
      <x:c r="B97" s="315" t="str">
        <x:v>199610230215504</x:v>
      </x:c>
      <x:c r="C97" s="315" t="str">
        <x:v>124962985</x:v>
      </x:c>
      <x:c r="D97" s="303" t="str">
        <x:v>Morsham Land / Eastern Ohio Holding / New Albany</x:v>
      </x:c>
      <x:c r="E97" s="303" t="str">
        <x:v>Parent parcels 545-147940; 545-147941 | The 50.086-acre owner tract from OR 11024A15; modifies 1977 restrictions and grants a perpetual open-space easement over 7.134 acres.</x:v>
      </x:c>
      <x:c r="F97" s="303" t="str">
        <x:v>50.086 acres; 7.134 acres</x:v>
      </x:c>
      <x:c r="G97" s="303" t="str">
        <x:v>Deed of Easement and Modification of Restrictions</x:v>
      </x:c>
      <x:c r="H97" s="303" t="str">
        <x:v>Board of Park Commissioners of the Columbus and Franklin County Metropolitan Park District and Morsham Land Corporation n.k.a. Eastern Ohio Holding Company, Inc.</x:v>
      </x:c>
      <x:c r="I97" s="303" t="str">
        <x:v>The same parties under reciprocal modification and easement covenants</x:v>
      </x:c>
      <x:c r="J97" s="303" t="str">
        <x:v>The face names the owner as "MORSHAM LAND CORPORATION, n.k.a. EASTERN OHIO HOLDING COMPANY, INC." This is a recorder-instrument recital, not the statutory merger certificate.</x:v>
      </x:c>
      <x:c r="K97" s="303" t="str">
        <x:v>MATERIAL CAPACITY RECITAL. It is the first reviewed recorder document linking the Morsham name to Eastern Ohio after the asserted merger date, but the wording is n.k.a. rather than statutory-survivor proof.</x:v>
      </x:c>
      <x:c r="L97" s="303" t="str">
        <x:v>$1 and other good and valuable consideration paid by Owner to the Park District.</x:v>
      </x:c>
      <x:c r="M97" s="315" t="str">
        <x:v>Deed Book 3599, Page 258; Morsham source OR 11024A15; modified by 199709090089524.</x:v>
      </x:c>
      <x:c r="N97" s="315" t="str">
        <x:v>modified by 199709090089524</x:v>
      </x:c>
      <x:c r="O97" s="303" t="str">
        <x:v>https://franklin.oh.publicsearch.us/doc/124962985?department=RP</x:v>
      </x:c>
      <x:c r="P97" s="303" t="str">
        <x:v>Primary recorder images; every page OCRed; title/party recital, legal, easement, restrictions, signers, acknowledgments, preparation/return, and marginal-reference notation visually verified.</x:v>
      </x:c>
      <x:c r="Q97" s="303" t="str">
        <x:v>Nominal stated consideration is not treated as sale price. Recorder recital supports this land-title/capacity event but is not the underlying statutory merger certificate. Execution/effective date: 1996-05-10. Easement affects rights/use but does not transfer the fee.</x:v>
      </x:c>
      <x:c r="R97" s="332" t="str">
        <x:f>IF(OR(ISNUMBER(SEARCH("zero public",P97)),ISNUMBER(SEARCH("unavailable",P97))),"Detail only","Image-backed")</x:f>
        <x:v>Image-backed</x:v>
      </x:c>
      <x:c r="S97" s="335" t="n">
        <x:f>IF(ISNUMBER(A97),YEAR(A97),VALUE(LEFT(A97,4)))</x:f>
        <x:v>1996</x:v>
      </x:c>
      <x:c r="T97" s="332" t="str">
        <x:f>IF(OR(ISNUMBER(SEARCH("Cherry",D97)),ISNUMBER(SEARCH("C-Wren",D97))),"Cherry / C-Wren / KG",IF(OR(ISNUMBER(SEARCH("Rocky Fork",D97)),ISNUMBER(SEARCH("N.A. Property",D97))),"Rocky / New Albany",IF(ISNUMBER(SEARCH("Morsham",D97)),"Morsham / Eastern",IF(ISNUMBER(SEARCH("Park Properties",D97)),"Park",IF(OR(ISNUMBER(SEARCH("H.H.D",D97)),ISNUMBER(SEARCH("Family Property Trust",D97))),"HHD / Trust","Other")))))</x:f>
        <x:v>Morsham / Eastern</x:v>
      </x:c>
      <x:c r="U97" s="332" t="str">
        <x:f>S97&amp;"|"&amp;T97</x:f>
        <x:v>1996|Morsham / Eastern</x:v>
      </x:c>
    </x:row>
    <x:row r="98" ht="58" customHeight="1">
      <x:c r="A98" s="312" t="n">
        <x:v>35363.5</x:v>
      </x:c>
      <x:c r="B98" s="315" t="str">
        <x:v>199610250217314</x:v>
      </x:c>
      <x:c r="C98" s="315" t="str">
        <x:v>124964778</x:v>
      </x:c>
      <x:c r="D98" s="303" t="str">
        <x:v>Cherry Bottom Properties / Investors</x:v>
      </x:c>
      <x:c r="E98" s="303" t="str">
        <x:v>Developer Parcel A, 2.214 acres in Lot 1; ACCA Parcel B, 2.412 acres in Lots 1 and 2; reciprocal 0.039-acre access strips; ACCA constructs and maintains drive, costs split 50/50; acreage/area: 2.214; 2.412; two access strips of 0.039</x:v>
      </x:c>
      <x:c r="F98" s="303" t="str">
        <x:v>2.214 acres; 2.412 acres; 0.039 acres</x:v>
      </x:c>
      <x:c r="G98" s="303" t="str">
        <x:v>CROSS EASEMENT AND MAINTENANCE AGREEMENT</x:v>
      </x:c>
      <x:c r="H98" s="303" t="str">
        <x:v>Thomas H. Lurie; Nancy N. Lurie; Cherry Bottom Properties, Inc., collectively Developer</x:v>
      </x:c>
      <x:c r="I98" s="303" t="str">
        <x:v>Animal Care Centers of America II, Ltd., an Ohio limited liability company; reciprocal benefits also run to Developer</x:v>
      </x:c>
      <x:c r="J98" s="303" t="str">
        <x:v>Cherry Bottom Properties, Inc. and the Luries are collectively defined as Developer; Animal Care is the reciprocal counterparty. No successor-by-merger recital.</x:v>
      </x:c>
      <x:c r="K98" s="303" t="str">
        <x:v>Face visually confirms effective date October 18, 1996; OCR incorrectly read the year as 1993. Index has party-name errors; face identifies Nancy N. Lurie and Animal Care Centers of America II, Ltd.</x:v>
      </x:c>
      <x:c r="L98" s="303" t="str">
        <x:v>Document face: Mutual good and valuable consideration; no monetary amount stated; Recorder/index tax or amount: Transfer-exempt</x:v>
      </x:c>
      <x:c r="M98" s="315" t="str">
        <x:v>Prior: Plat Book 76, page 49; OR 24539C13 referenced in Parcel A legal; next/marginal: 199610250217315 (companion deed recorded immediately afterward)</x:v>
      </x:c>
      <x:c r="N98" s="315" t="str">
        <x:v>next/marginal 199610250217315 (companion deed recorded immediately afterward)</x:v>
      </x:c>
      <x:c r="O98" s="303" t="str">
        <x:v>https://franklin.oh.publicsearch.us/doc/124964778?department=RP</x:v>
      </x:c>
      <x:c r="P98" s="303" t="str">
        <x:v>Primary recorder images; all pages reviewed through OCR and the cited pages visually checked (visual_primary_plus_ocr).</x:v>
      </x:c>
      <x:c r="Q98" s="303" t="str">
        <x:v>Execution/effective date: 1996-10-18 (effective); 1996-10-23 (Developer acknowledgments). Easement affects rights/use but does not transfer the fee.</x:v>
      </x:c>
      <x:c r="R98" s="332" t="str">
        <x:f>IF(OR(ISNUMBER(SEARCH("zero public",P98)),ISNUMBER(SEARCH("unavailable",P98))),"Detail only","Image-backed")</x:f>
        <x:v>Image-backed</x:v>
      </x:c>
      <x:c r="S98" s="335" t="n">
        <x:f>IF(ISNUMBER(A98),YEAR(A98),VALUE(LEFT(A98,4)))</x:f>
        <x:v>1996</x:v>
      </x:c>
      <x:c r="T98" s="332" t="str">
        <x:f>IF(OR(ISNUMBER(SEARCH("Cherry",D98)),ISNUMBER(SEARCH("C-Wren",D98))),"Cherry / C-Wren / KG",IF(OR(ISNUMBER(SEARCH("Rocky Fork",D98)),ISNUMBER(SEARCH("N.A. Property",D98))),"Rocky / New Albany",IF(ISNUMBER(SEARCH("Morsham",D98)),"Morsham / Eastern",IF(ISNUMBER(SEARCH("Park Properties",D98)),"Park",IF(OR(ISNUMBER(SEARCH("H.H.D",D98)),ISNUMBER(SEARCH("Family Property Trust",D98))),"HHD / Trust","Other")))))</x:f>
        <x:v>Cherry / C-Wren / KG</x:v>
      </x:c>
      <x:c r="U98" s="332" t="str">
        <x:f>S98&amp;"|"&amp;T98</x:f>
        <x:v>1996|Cherry / C-Wren / KG</x:v>
      </x:c>
    </x:row>
    <x:row r="99" ht="58" customHeight="1">
      <x:c r="A99" s="312" t="n">
        <x:v>35363.5</x:v>
      </x:c>
      <x:c r="B99" s="315" t="str">
        <x:v>199610250217315</x:v>
      </x:c>
      <x:c r="C99" s="315" t="str">
        <x:v>124964704</x:v>
      </x:c>
      <x:c r="D99" s="303" t="str">
        <x:v>Cherry Bottom Properties / Investors</x:v>
      </x:c>
      <x:c r="E99" s="303" t="str">
        <x:v>Parts of Lots 1 and 2, Cherry Bottom Commerce Park; acreage/area: 2.412</x:v>
      </x:c>
      <x:c r="F99" s="303"/>
      <x:c r="G99" s="303" t="str">
        <x:v>GENERAL WARRANTY DEED</x:v>
      </x:c>
      <x:c r="H99" s="303" t="str">
        <x:v>Cherry Bottom Properties, Inc.; Thomas H. Lurie; Nancy N. Lurie</x:v>
      </x:c>
      <x:c r="I99" s="303" t="str">
        <x:v>Animal Care Centers of America II, Ltd., an Ohio limited liability company</x:v>
      </x:c>
      <x:c r="J99" s="303" t="str">
        <x:v>Cherry Bottom Properties, Inc. and the Luries execute as direct co-grantors. No successor-by-merger recital.</x:v>
      </x:c>
      <x:c r="K99" s="303" t="str">
        <x:v>$10 is deed consideration; $238 is recorder/index conveyance tax.</x:v>
      </x:c>
      <x:c r="L99" s="303" t="str">
        <x:v>Document face: $10 and other good and valuable consideration; Recorder/index tax or amount: $238 conveyance tax/index amount</x:v>
      </x:c>
      <x:c r="M99" s="315" t="str">
        <x:v>Prior: OR 16658J11; OR 11253J11; next/marginal: 199610250217314 (companion cross-easement agreement recorded immediately before)</x:v>
      </x:c>
      <x:c r="N99" s="315" t="str">
        <x:v>next/marginal 199610250217314 (companion cross-easement agreement recorded immediately before)</x:v>
      </x:c>
      <x:c r="O99" s="303" t="str">
        <x:v>https://franklin.oh.publicsearch.us/doc/124964704?department=RP</x:v>
      </x:c>
      <x:c r="P99" s="303" t="str">
        <x:v>Primary recorder images; all pages reviewed through OCR and the cited pages visually checked (visual_primary_plus_ocr).</x:v>
      </x:c>
      <x:c r="Q99" s="303" t="str">
        <x:v>Conveyance-tax/fee figures are not treated as sale price. Nominal stated consideration is not treated as sale price. Execution/effective date: 1996-10-23.</x:v>
      </x:c>
      <x:c r="R99" s="332" t="str">
        <x:f>IF(OR(ISNUMBER(SEARCH("zero public",P99)),ISNUMBER(SEARCH("unavailable",P99))),"Detail only","Image-backed")</x:f>
        <x:v>Image-backed</x:v>
      </x:c>
      <x:c r="S99" s="335" t="n">
        <x:f>IF(ISNUMBER(A99),YEAR(A99),VALUE(LEFT(A99,4)))</x:f>
        <x:v>1996</x:v>
      </x:c>
      <x:c r="T99" s="332" t="str">
        <x:f>IF(OR(ISNUMBER(SEARCH("Cherry",D99)),ISNUMBER(SEARCH("C-Wren",D99))),"Cherry / C-Wren / KG",IF(OR(ISNUMBER(SEARCH("Rocky Fork",D99)),ISNUMBER(SEARCH("N.A. Property",D99))),"Rocky / New Albany",IF(ISNUMBER(SEARCH("Morsham",D99)),"Morsham / Eastern",IF(ISNUMBER(SEARCH("Park Properties",D99)),"Park",IF(OR(ISNUMBER(SEARCH("H.H.D",D99)),ISNUMBER(SEARCH("Family Property Trust",D99))),"HHD / Trust","Other")))))</x:f>
        <x:v>Cherry / C-Wren / KG</x:v>
      </x:c>
      <x:c r="U99" s="332" t="str">
        <x:f>S99&amp;"|"&amp;T99</x:f>
        <x:v>1996|Cherry / C-Wren / KG</x:v>
      </x:c>
    </x:row>
    <x:row r="100" ht="58" customHeight="1">
      <x:c r="A100" s="312" t="n">
        <x:v>35384.5</x:v>
      </x:c>
      <x:c r="B100" s="315" t="str">
        <x:v>199611150229244</x:v>
      </x:c>
      <x:c r="C100" s="315" t="str">
        <x:v>124978481</x:v>
      </x:c>
      <x:c r="D100" s="303" t="str">
        <x:v>Morsham Land / Eastern Ohio Holding / New Albany</x:v>
      </x:c>
      <x:c r="E100" s="303" t="str">
        <x:v>545-147940; 545-147941 | 35.686 acres out of the original 50.086-acre Morsham tract: 12.583 acres from parcel 545-147940 and 23.103 acres from parcel 545-147941.</x:v>
      </x:c>
      <x:c r="F100" s="303" t="str">
        <x:v>35.686 acres; 50.086 acres; 12.583 acres; 23.103 acres</x:v>
      </x:c>
      <x:c r="G100" s="303" t="str">
        <x:v>General Warranty Deed</x:v>
      </x:c>
      <x:c r="H100" s="303" t="str">
        <x:v>Eastern Ohio Holding Company, Inc., an Ohio corporation, successor by merger to Morsham Land Corporation</x:v>
      </x:c>
      <x:c r="I100" s="303" t="str">
        <x:v>The New Albany Company Limited Partnership, a Delaware limited partnership</x:v>
      </x:c>
      <x:c r="J100" s="303" t="str">
        <x:v>The deed face expressly calls Eastern Ohio "successor by merger to Morsham Land Corporation." This is a grantor recital in a recorded deed, not the missing Ohio statutory merger filing.</x:v>
      </x:c>
      <x:c r="K100" s="303" t="str">
        <x:v>MATERIAL INTERMEDIATE TITLE RECITAL. It names Eastern Ohio as merger successor in the recorder chain and transfers 35.686 acres to New Albany, which conveyed the same tract to Summit minutes later. It does not resolve the statutory merger constituents or survivor from corporate filings.</x:v>
      </x:c>
      <x:c r="L100" s="303" t="str">
        <x:v>$1 and other good and valuable consideration; transfer exempt.</x:v>
      </x:c>
      <x:c r="M100" s="315" t="str">
        <x:v>Prior OR 11024A15; this deed OR 33608H13; immediately followed by 199611150229245 / OR 33608H16.</x:v>
      </x:c>
      <x:c r="N100" s="315" t="str">
        <x:v>immediately followed by 199611150229245 / OR 33608H16</x:v>
      </x:c>
      <x:c r="O100" s="303" t="str">
        <x:v>https://franklin.oh.publicsearch.us/doc/124978481?department=RP</x:v>
      </x:c>
      <x:c r="P100" s="303" t="str">
        <x:v>Primary recorder images; every page OCRed; deed face, merger-successor wording, grant, parcels, legal description, signer/title, notary, preparation line, and recording sequence visually verified.</x:v>
      </x:c>
      <x:c r="Q100" s="303" t="str">
        <x:v>Nominal stated consideration is not treated as sale price. Recorder recital supports this land-title/capacity event but is not the underlying statutory merger certificate. Execution/effective date: 1996-11-15.</x:v>
      </x:c>
      <x:c r="R100" s="332" t="str">
        <x:f>IF(OR(ISNUMBER(SEARCH("zero public",P100)),ISNUMBER(SEARCH("unavailable",P100))),"Detail only","Image-backed")</x:f>
        <x:v>Image-backed</x:v>
      </x:c>
      <x:c r="S100" s="335" t="n">
        <x:f>IF(ISNUMBER(A100),YEAR(A100),VALUE(LEFT(A100,4)))</x:f>
        <x:v>1996</x:v>
      </x:c>
      <x:c r="T100" s="332" t="str">
        <x:f>IF(OR(ISNUMBER(SEARCH("Cherry",D100)),ISNUMBER(SEARCH("C-Wren",D100))),"Cherry / C-Wren / KG",IF(OR(ISNUMBER(SEARCH("Rocky Fork",D100)),ISNUMBER(SEARCH("N.A. Property",D100))),"Rocky / New Albany",IF(ISNUMBER(SEARCH("Morsham",D100)),"Morsham / Eastern",IF(ISNUMBER(SEARCH("Park Properties",D100)),"Park",IF(OR(ISNUMBER(SEARCH("H.H.D",D100)),ISNUMBER(SEARCH("Family Property Trust",D100))),"HHD / Trust","Other")))))</x:f>
        <x:v>Morsham / Eastern</x:v>
      </x:c>
      <x:c r="U100" s="332" t="str">
        <x:f>S100&amp;"|"&amp;T100</x:f>
        <x:v>1996|Morsham / Eastern</x:v>
      </x:c>
    </x:row>
    <x:row r="101" ht="58" customHeight="1">
      <x:c r="A101" s="312" t="n">
        <x:v>35384.5</x:v>
      </x:c>
      <x:c r="B101" s="315" t="str">
        <x:v>199611150229245</x:v>
      </x:c>
      <x:c r="C101" s="315" t="str">
        <x:v>124978480</x:v>
      </x:c>
      <x:c r="D101" s="303" t="str">
        <x:v>Morsham Land / Eastern Ohio Holding / New Albany</x:v>
      </x:c>
      <x:c r="E101" s="303" t="str">
        <x:v>545-147940; 545-147941 | 35.686 acres in the City of Columbus, Quarter Township 4, Township 2, Range 17, USML; 12.583 acres out of parcel 545-147940 and 23.103 acres out of parcel 545-147941; subject to Exhibit B architectural/development restrictions reserved for Grantor and successors.</x:v>
      </x:c>
      <x:c r="F101" s="303" t="str">
        <x:v>35.686 acres; 12.583 acres; 23.103 acres</x:v>
      </x:c>
      <x:c r="G101" s="303" t="str">
        <x:v>General Warranty Deed</x:v>
      </x:c>
      <x:c r="H101" s="303" t="str">
        <x:v>The New Albany Company Limited Partnership, a Delaware limited partnership</x:v>
      </x:c>
      <x:c r="I101" s="303" t="str">
        <x:v>Summit Properties Partnership, L.P., a Delaware limited partnership</x:v>
      </x:c>
      <x:c r="J101" s="303" t="str">
        <x:v>No merger or successor wording appears in this deed. Exhibit A says the 35.686 acres are all out of the 50.086-acre tract conveyed to Morsham Land Corporation in OR 11024A15. The separately recorded immediately preceding deed, 199611150229244 / OR 33608H13, is the instrument that recites Eastern Ohio Holding Company as successor by merger to Morsham and conveys this 35.686-acre tract to New Albany.</x:v>
      </x:c>
      <x:c r="K101" s="303" t="str">
        <x:v>MATERIAL TITLE LINK. This is the same-day onward conveyance of the exact 35.686-acre Morsham-derived tract from New Albany to Summit. It materially continues title, but it does not independently prove the Morsham merger or identify the statutory survivor.</x:v>
      </x:c>
      <x:c r="L101" s="303" t="str">
        <x:v>Valuable consideration paid, amount not stated on the face; recorder conveyance-tax stamp appears to be $3,704.20.</x:v>
      </x:c>
      <x:c r="M101" s="315" t="str">
        <x:v>Morsham source deed OR 11024A15; immediate prior title link 199611150229244 / OR 33608H13; this deed is OR 33608H16; immediately followed by consent 199611150229246 / OR 33608H20.</x:v>
      </x:c>
      <x:c r="N101" s="315" t="str">
        <x:v>immediately followed by consent 199611150229246 / OR 33608H20</x:v>
      </x:c>
      <x:c r="O101" s="303" t="str">
        <x:v>https://franklin.oh.publicsearch.us/doc/124978480?department=RP</x:v>
      </x:c>
      <x:c r="P101" s="303" t="str">
        <x:v>Primary recorder images; all pages OCRed; deed face, signature/acknowledgment, Morsham source recital, acreage allocation, and recorder time visually verified. Merger conclusion deliberately limited to the separate deed recital.</x:v>
      </x:c>
      <x:c r="Q101" s="303" t="str">
        <x:v>Conveyance-tax/fee figures are not treated as sale price. Recorder recital supports this land-title/capacity event but is not the underlying statutory merger certificate. Execution/effective date: Signature-date clause says June 1996 but leaves the day blank; acknowledgment is 1996-11-15.</x:v>
      </x:c>
      <x:c r="R101" s="332" t="str">
        <x:f>IF(OR(ISNUMBER(SEARCH("zero public",P101)),ISNUMBER(SEARCH("unavailable",P101))),"Detail only","Image-backed")</x:f>
        <x:v>Image-backed</x:v>
      </x:c>
      <x:c r="S101" s="335" t="n">
        <x:f>IF(ISNUMBER(A101),YEAR(A101),VALUE(LEFT(A101,4)))</x:f>
        <x:v>1996</x:v>
      </x:c>
      <x:c r="T101" s="332" t="str">
        <x:f>IF(OR(ISNUMBER(SEARCH("Cherry",D101)),ISNUMBER(SEARCH("C-Wren",D101))),"Cherry / C-Wren / KG",IF(OR(ISNUMBER(SEARCH("Rocky Fork",D101)),ISNUMBER(SEARCH("N.A. Property",D101))),"Rocky / New Albany",IF(ISNUMBER(SEARCH("Morsham",D101)),"Morsham / Eastern",IF(ISNUMBER(SEARCH("Park Properties",D101)),"Park",IF(OR(ISNUMBER(SEARCH("H.H.D",D101)),ISNUMBER(SEARCH("Family Property Trust",D101))),"HHD / Trust","Other")))))</x:f>
        <x:v>Morsham / Eastern</x:v>
      </x:c>
      <x:c r="U101" s="332" t="str">
        <x:f>S101&amp;"|"&amp;T101</x:f>
        <x:v>1996|Morsham / Eastern</x:v>
      </x:c>
    </x:row>
    <x:row r="102" ht="58" customHeight="1">
      <x:c r="A102" s="312" t="n">
        <x:v>35384.5</x:v>
      </x:c>
      <x:c r="B102" s="315" t="str">
        <x:v>199611150229246</x:v>
      </x:c>
      <x:c r="C102" s="315" t="str">
        <x:v>124978271</x:v>
      </x:c>
      <x:c r="D102" s="303" t="str">
        <x:v>Morsham Land / Eastern Ohio Holding / New Albany</x:v>
      </x:c>
      <x:c r="E102" s="303" t="str">
        <x:v>545-147940; 545-147941 | 35.686 acres; Exhibit A repeats that the tract is all out of the 50.086-acre tract conveyed to Morsham Land Corporation in OR 11024A15; 12.583 acres out of 545-147940 and 23.103 acres out of 545-147941.</x:v>
      </x:c>
      <x:c r="F102" s="303" t="str">
        <x:v>35.686 acres; 50.086 acres; 12.583 acres; 23.103 acres</x:v>
      </x:c>
      <x:c r="G102" s="303" t="str">
        <x:v>Consent for Inclusion of Real Property in the New Albany Community District (indexed AF)</x:v>
      </x:c>
      <x:c r="H102" s="303" t="str">
        <x:v>Summit Properties Partnership, L.P., a Delaware limited partnership, as Owner</x:v>
      </x:c>
      <x:c r="I102" s="303" t="str">
        <x:v>No conventional grantee; consent benefits The New Albany Community Authority and permits the Private Developer under OR 16999C04 to subject the property to the Declaration.</x:v>
      </x:c>
      <x:c r="J102" s="303" t="str">
        <x:v>Summit expressly states that it owns parcels 545-147940 and 545-147941, aggregating 35.686 acres. Summit Properties Inc., a Maryland corporation, signs as its general partner. The document contains no merger or corporate-successor recital.</x:v>
      </x:c>
      <x:c r="K102" s="303" t="str">
        <x:v>MATERIAL DOWNSTREAM ENCUMBRANCE/CONSENT. It confirms Summit's immediate post-closing ownership of the same Morsham-derived parcels and subjects them to the New Albany Community Authority framework. It does not convey title and is not merger proof.</x:v>
      </x:c>
      <x:c r="L102" s="303" t="str">
        <x:v>No purchase consideration or debt. Owner irrevocably consents to inclusion and to a community-development charge, conditioned so no charge or other Authority assessment applies before 1999-01-01.</x:v>
      </x:c>
      <x:c r="M102" s="315" t="str">
        <x:v>OR 16999C04 community-authority declaration; Morsham source deed OR 11024A15; companion deed 199611150229245 / OR 33608H16 recorded one minute earlier.</x:v>
      </x:c>
      <x:c r="N102" s="315"/>
      <x:c r="O102" s="303" t="str">
        <x:v>https://franklin.oh.publicsearch.us/doc/124978271?department=RP</x:v>
      </x:c>
      <x:c r="P102" s="303" t="str">
        <x:v>Primary recorder images; all pages OCRed; ownership consent, signer, notary, Morsham legal recital, acreage allocation, and recording time visually verified.</x:v>
      </x:c>
      <x:c r="Q102" s="303" t="str">
        <x:v>Execution/effective date: 1996-11-15.</x:v>
      </x:c>
      <x:c r="R102" s="332" t="str">
        <x:f>IF(OR(ISNUMBER(SEARCH("zero public",P102)),ISNUMBER(SEARCH("unavailable",P102))),"Detail only","Image-backed")</x:f>
        <x:v>Image-backed</x:v>
      </x:c>
      <x:c r="S102" s="335" t="n">
        <x:f>IF(ISNUMBER(A102),YEAR(A102),VALUE(LEFT(A102,4)))</x:f>
        <x:v>1996</x:v>
      </x:c>
      <x:c r="T102" s="332" t="str">
        <x:f>IF(OR(ISNUMBER(SEARCH("Cherry",D102)),ISNUMBER(SEARCH("C-Wren",D102))),"Cherry / C-Wren / KG",IF(OR(ISNUMBER(SEARCH("Rocky Fork",D102)),ISNUMBER(SEARCH("N.A. Property",D102))),"Rocky / New Albany",IF(ISNUMBER(SEARCH("Morsham",D102)),"Morsham / Eastern",IF(ISNUMBER(SEARCH("Park Properties",D102)),"Park",IF(OR(ISNUMBER(SEARCH("H.H.D",D102)),ISNUMBER(SEARCH("Family Property Trust",D102))),"HHD / Trust","Other")))))</x:f>
        <x:v>Morsham / Eastern</x:v>
      </x:c>
      <x:c r="U102" s="332" t="str">
        <x:f>S102&amp;"|"&amp;T102</x:f>
        <x:v>1996|Morsham / Eastern</x:v>
      </x:c>
    </x:row>
    <x:row r="103" ht="58" customHeight="1">
      <x:c r="A103" s="312" t="n">
        <x:v>35453.5</x:v>
      </x:c>
      <x:c r="B103" s="315" t="str">
        <x:v>199701230024896</x:v>
      </x:c>
      <x:c r="C103" s="315" t="str">
        <x:v>125020914</x:v>
      </x:c>
      <x:c r="D103" s="303" t="str">
        <x:v>Cherry Bottom Properties / Investors</x:v>
      </x:c>
      <x:c r="E103" s="303" t="str">
        <x:v>600-168453 | 6.302-acre tract in the City of Columbus, subject to restrictions in Exhibit B; acreage/area: 6.302</x:v>
      </x:c>
      <x:c r="F103" s="303" t="str">
        <x:v>6.302 acres</x:v>
      </x:c>
      <x:c r="G103" s="303" t="str">
        <x:v>GENERAL WARRANTY DEED</x:v>
      </x:c>
      <x:c r="H103" s="303" t="str">
        <x:v>Cherry Bottom Properties, Inc.; Thomas H. Lurie; Nancy N. Lurie</x:v>
      </x:c>
      <x:c r="I103" s="303" t="str">
        <x:v>Germain Properties of Columbus, Inc., an Ohio corporation</x:v>
      </x:c>
      <x:c r="J103" s="303" t="str">
        <x:v>Cherry Bottom Properties, Inc. and the Luries execute as direct co-grantors; Leslie H. Wexner signs for the corporation as President. No successor-by-merger recital.</x:v>
      </x:c>
      <x:c r="K103" s="303" t="str">
        <x:v>Page 1 visibly reads “By: Leslie H. Wexner” and “Its: President.” Index misspells Germain as “GERMAIIN.” $10 is deed consideration; $1,164 is recorder/index conveyance tax.</x:v>
      </x:c>
      <x:c r="L103" s="303" t="str">
        <x:v>Document face: $10 and other good and valuable consideration; Recorder/index tax or amount: $1,164 conveyance tax/index amount</x:v>
      </x:c>
      <x:c r="M103" s="315" t="str">
        <x:v>Prior: OR 16658J11; OR 11253J16; next/marginal: None stated</x:v>
      </x:c>
      <x:c r="N103" s="315" t="str">
        <x:v>next/marginal None stated</x:v>
      </x:c>
      <x:c r="O103" s="303" t="str">
        <x:v>https://franklin.oh.publicsearch.us/doc/125020914?department=RP</x:v>
      </x:c>
      <x:c r="P103" s="303" t="str">
        <x:v>Primary recorder images; all pages reviewed through OCR and the cited pages visually checked (visual_primary_plus_ocr).</x:v>
      </x:c>
      <x:c r="Q103" s="303" t="str">
        <x:v>Conveyance-tax/fee figures are not treated as sale price. Nominal stated consideration is not treated as sale price. Execution/effective date: 1997-01-23 (face); 1997-01-21 acknowledgments. An officer signature proves execution in the stated capacity, not beneficial ownership.</x:v>
      </x:c>
      <x:c r="R103" s="332" t="str">
        <x:f>IF(OR(ISNUMBER(SEARCH("zero public",P103)),ISNUMBER(SEARCH("unavailable",P103))),"Detail only","Image-backed")</x:f>
        <x:v>Image-backed</x:v>
      </x:c>
      <x:c r="S103" s="335" t="n">
        <x:f>IF(ISNUMBER(A103),YEAR(A103),VALUE(LEFT(A103,4)))</x:f>
        <x:v>1997</x:v>
      </x:c>
      <x:c r="T103" s="332" t="str">
        <x:f>IF(OR(ISNUMBER(SEARCH("Cherry",D103)),ISNUMBER(SEARCH("C-Wren",D103))),"Cherry / C-Wren / KG",IF(OR(ISNUMBER(SEARCH("Rocky Fork",D103)),ISNUMBER(SEARCH("N.A. Property",D103))),"Rocky / New Albany",IF(ISNUMBER(SEARCH("Morsham",D103)),"Morsham / Eastern",IF(ISNUMBER(SEARCH("Park Properties",D103)),"Park",IF(OR(ISNUMBER(SEARCH("H.H.D",D103)),ISNUMBER(SEARCH("Family Property Trust",D103))),"HHD / Trust","Other")))))</x:f>
        <x:v>Cherry / C-Wren / KG</x:v>
      </x:c>
      <x:c r="U103" s="332" t="str">
        <x:f>S103&amp;"|"&amp;T103</x:f>
        <x:v>1997|Cherry / C-Wren / KG</x:v>
      </x:c>
    </x:row>
    <x:row r="104" ht="58" customHeight="1">
      <x:c r="A104" s="312" t="n">
        <x:v>35479.5</x:v>
      </x:c>
      <x:c r="B104" s="315" t="str">
        <x:v>199702180037606</x:v>
      </x:c>
      <x:c r="C104" s="315" t="str">
        <x:v>125036738</x:v>
      </x:c>
      <x:c r="D104" s="303" t="str">
        <x:v>Morsham Land / Eastern Ohio Holding / New Albany</x:v>
      </x:c>
      <x:c r="E104" s="303" t="str">
        <x:v>Not stated on face | Separate Range 16 asset cluster: Exhibit A residual tract of 76 acres and 96 rods, including 0.25 acre in road right-of-way; Exhibit B combines stated 25-acre and 6-acre components.</x:v>
      </x:c>
      <x:c r="F104" s="303" t="str">
        <x:v>76 acres; 0.25 acre; 25 acres; 6 acres</x:v>
      </x:c>
      <x:c r="G104" s="303" t="str">
        <x:v>Deed</x:v>
      </x:c>
      <x:c r="H104" s="303" t="str">
        <x:v>Eastern Ohio Holding Company, Inc., successor by merger to Morsham Land Corporation, and Black Sheep Farms, Inc.</x:v>
      </x:c>
      <x:c r="I104" s="303" t="str">
        <x:v>The New Albany Company Limited Partnership</x:v>
      </x:c>
      <x:c r="J104" s="303" t="str">
        <x:v>The face repeats the Eastern Ohio merger-successor recital. Black Sheep is named as co-grantor, but no separate Black Sheep execution appears in the three recorded pages; that is a documentary anomaly, not a legal conclusion.</x:v>
      </x:c>
      <x:c r="K104" s="303" t="str">
        <x:v>MATERIAL DISPOSITION. The deed transfers a separate Morsham/Black Sheep asset cluster to New Albany and repeats the Eastern Ohio successor recital. The missing Black Sheep execution should be checked against any continuation or corrective instrument.</x:v>
      </x:c>
      <x:c r="L104" s="303" t="str">
        <x:v>$1 and other good and valuable consideration; transfer exempt.</x:v>
      </x:c>
      <x:c r="M104" s="315" t="str">
        <x:v>Morsham source OR 11024A15; this deed OR 34304J13; marginal link 200804070052880.</x:v>
      </x:c>
      <x:c r="N104" s="315"/>
      <x:c r="O104" s="303" t="str">
        <x:v>https://franklin.oh.publicsearch.us/doc/125036738?department=RP</x:v>
      </x:c>
      <x:c r="P104" s="303" t="str">
        <x:v>Primary recorder images; every page OCRed; deed face, successor wording, effective date, execution, acknowledgment, both exhibits, addresses, and marginal reference visually verified.</x:v>
      </x:c>
      <x:c r="Q104" s="303" t="str">
        <x:v>Nominal stated consideration is not treated as sale price. Execution/effective date: 1997-02-12; stated effective 1996-12-31.</x:v>
      </x:c>
      <x:c r="R104" s="332" t="str">
        <x:f>IF(OR(ISNUMBER(SEARCH("zero public",P104)),ISNUMBER(SEARCH("unavailable",P104))),"Detail only","Image-backed")</x:f>
        <x:v>Image-backed</x:v>
      </x:c>
      <x:c r="S104" s="335" t="n">
        <x:f>IF(ISNUMBER(A104),YEAR(A104),VALUE(LEFT(A104,4)))</x:f>
        <x:v>1997</x:v>
      </x:c>
      <x:c r="T104" s="332" t="str">
        <x:f>IF(OR(ISNUMBER(SEARCH("Cherry",D104)),ISNUMBER(SEARCH("C-Wren",D104))),"Cherry / C-Wren / KG",IF(OR(ISNUMBER(SEARCH("Rocky Fork",D104)),ISNUMBER(SEARCH("N.A. Property",D104))),"Rocky / New Albany",IF(ISNUMBER(SEARCH("Morsham",D104)),"Morsham / Eastern",IF(ISNUMBER(SEARCH("Park Properties",D104)),"Park",IF(OR(ISNUMBER(SEARCH("H.H.D",D104)),ISNUMBER(SEARCH("Family Property Trust",D104))),"HHD / Trust","Other")))))</x:f>
        <x:v>Morsham / Eastern</x:v>
      </x:c>
      <x:c r="U104" s="332" t="str">
        <x:f>S104&amp;"|"&amp;T104</x:f>
        <x:v>1997|Morsham / Eastern</x:v>
      </x:c>
    </x:row>
    <x:row r="105" ht="58" customHeight="1">
      <x:c r="A105" s="312" t="n">
        <x:v>35479.5</x:v>
      </x:c>
      <x:c r="B105" s="315" t="str">
        <x:v>199702180037607</x:v>
      </x:c>
      <x:c r="C105" s="315" t="str">
        <x:v>125036746</x:v>
      </x:c>
      <x:c r="D105" s="303" t="str">
        <x:v>Morsham Land / Eastern Ohio Holding / New Albany</x:v>
      </x:c>
      <x:c r="E105" s="303" t="str">
        <x:v>Not stated on face | 34.058 acres: 20.809 acres from Black Sheep's original 81.278-acre tract plus 13.249 acres from Morsham's original 35.274-acre tract; map included.</x:v>
      </x:c>
      <x:c r="F105" s="303" t="str">
        <x:v>34.058 acres; 20.809 acres; 81.278 acres; 13.249 acres; 35.274 acres</x:v>
      </x:c>
      <x:c r="G105" s="303" t="str">
        <x:v>Deed</x:v>
      </x:c>
      <x:c r="H105" s="303" t="str">
        <x:v>Eastern Ohio Holding Company, Inc., successor by merger to Morsham Land Corporation, and Black Sheep Farms, Inc.</x:v>
      </x:c>
      <x:c r="I105" s="303" t="str">
        <x:v>The New Albany Company Limited Partnership</x:v>
      </x:c>
      <x:c r="J105" s="303" t="str">
        <x:v>The face repeats the Eastern Ohio merger-successor recital. Black Sheep is named as co-grantor, but no separate Black Sheep execution appears on the four recorded pages; that is preserved as an anomaly.</x:v>
      </x:c>
      <x:c r="K105" s="303" t="str">
        <x:v>MATERIAL DISPOSITION. It transfers 13.249 acres of the Morsham-derived tract together with 20.809 Black Sheep acres to New Albany and repeats the Eastern Ohio successor recital.</x:v>
      </x:c>
      <x:c r="L105" s="303" t="str">
        <x:v>$1 and other good and valuable consideration; transfer exempt.</x:v>
      </x:c>
      <x:c r="M105" s="315" t="str">
        <x:v>Black Sheep source OR 10916F01; Morsham source OR 11024A15; neighboring Summit 35.686-acre tract OR 33608H16.</x:v>
      </x:c>
      <x:c r="N105" s="315"/>
      <x:c r="O105" s="303" t="str">
        <x:v>https://franklin.oh.publicsearch.us/doc/125036746?department=RP</x:v>
      </x:c>
      <x:c r="P105" s="303" t="str">
        <x:v>Primary recorder images; every page OCRed; deed face, successor recital, execution/acknowledgment, legal components, source references, acreage, and map visually verified.</x:v>
      </x:c>
      <x:c r="Q105" s="303" t="str">
        <x:v>Nominal stated consideration is not treated as sale price. Execution/effective date: 1997-02-12; stated effective 1996-12-31.</x:v>
      </x:c>
      <x:c r="R105" s="332" t="str">
        <x:f>IF(OR(ISNUMBER(SEARCH("zero public",P105)),ISNUMBER(SEARCH("unavailable",P105))),"Detail only","Image-backed")</x:f>
        <x:v>Image-backed</x:v>
      </x:c>
      <x:c r="S105" s="335" t="n">
        <x:f>IF(ISNUMBER(A105),YEAR(A105),VALUE(LEFT(A105,4)))</x:f>
        <x:v>1997</x:v>
      </x:c>
      <x:c r="T105" s="332" t="str">
        <x:f>IF(OR(ISNUMBER(SEARCH("Cherry",D105)),ISNUMBER(SEARCH("C-Wren",D105))),"Cherry / C-Wren / KG",IF(OR(ISNUMBER(SEARCH("Rocky Fork",D105)),ISNUMBER(SEARCH("N.A. Property",D105))),"Rocky / New Albany",IF(ISNUMBER(SEARCH("Morsham",D105)),"Morsham / Eastern",IF(ISNUMBER(SEARCH("Park Properties",D105)),"Park",IF(OR(ISNUMBER(SEARCH("H.H.D",D105)),ISNUMBER(SEARCH("Family Property Trust",D105))),"HHD / Trust","Other")))))</x:f>
        <x:v>Morsham / Eastern</x:v>
      </x:c>
      <x:c r="U105" s="332" t="str">
        <x:f>S105&amp;"|"&amp;T105</x:f>
        <x:v>1997|Morsham / Eastern</x:v>
      </x:c>
    </x:row>
    <x:row r="106" ht="58" customHeight="1">
      <x:c r="A106" s="312" t="n">
        <x:v>35579.5</x:v>
      </x:c>
      <x:c r="B106" s="315" t="str">
        <x:v>199705290010107</x:v>
      </x:c>
      <x:c r="C106" s="315" t="str">
        <x:v>125110593</x:v>
      </x:c>
      <x:c r="D106" s="303" t="str">
        <x:v>Cherry Bottom Properties / Investors</x:v>
      </x:c>
      <x:c r="E106" s="303" t="str">
        <x:v>Parts of Lots 1 and 2, Cherry Bottom Commerce Park; survey notes adjacent HER, Inc. 2.241-acre tract in OR 28956J09; acreage/area: 2.295</x:v>
      </x:c>
      <x:c r="F106" s="303" t="str">
        <x:v>2.241 acres</x:v>
      </x:c>
      <x:c r="G106" s="303" t="str">
        <x:v>GENERAL WARRANTY DEED</x:v>
      </x:c>
      <x:c r="H106" s="303" t="str">
        <x:v>Cherry Bottom Properties, Inc.; Thomas H. Lurie; Nancy N. Lurie</x:v>
      </x:c>
      <x:c r="I106" s="303" t="str">
        <x:v>Cherry Way Partners, LLC, an Ohio limited liability company</x:v>
      </x:c>
      <x:c r="J106" s="303" t="str">
        <x:v>Cherry Bottom Properties, Inc. and the Luries execute as direct co-grantors; Leslie H. Wexner signs for the corporation as President. No successor-by-merger recital.</x:v>
      </x:c>
      <x:c r="K106" s="303" t="str">
        <x:v>Page 1 visibly reads “By: Leslie H. Wexner” and “Its: President.” $10 is deed consideration; $183 is recorder/index conveyance tax.</x:v>
      </x:c>
      <x:c r="L106" s="303" t="str">
        <x:v>Document face: $10 and other good and valuable consideration; Recorder/index tax or amount: $183 conveyance tax/index amount</x:v>
      </x:c>
      <x:c r="M106" s="315" t="str">
        <x:v>Prior: OR 16658J11; OR 11253J11; next/marginal: None stated</x:v>
      </x:c>
      <x:c r="N106" s="315" t="str">
        <x:v>next/marginal None stated</x:v>
      </x:c>
      <x:c r="O106" s="303" t="str">
        <x:v>https://franklin.oh.publicsearch.us/doc/125110593?department=RP</x:v>
      </x:c>
      <x:c r="P106" s="303" t="str">
        <x:v>Primary recorder images; all pages reviewed through OCR and the cited pages visually checked (visual_primary_plus_ocr).</x:v>
      </x:c>
      <x:c r="Q106" s="303" t="str">
        <x:v>Conveyance-tax/fee figures are not treated as sale price. Nominal stated consideration is not treated as sale price. Execution/effective date: 1997-05-22. An officer signature proves execution in the stated capacity, not beneficial ownership.</x:v>
      </x:c>
      <x:c r="R106" s="332" t="str">
        <x:f>IF(OR(ISNUMBER(SEARCH("zero public",P106)),ISNUMBER(SEARCH("unavailable",P106))),"Detail only","Image-backed")</x:f>
        <x:v>Image-backed</x:v>
      </x:c>
      <x:c r="S106" s="335" t="n">
        <x:f>IF(ISNUMBER(A106),YEAR(A106),VALUE(LEFT(A106,4)))</x:f>
        <x:v>1997</x:v>
      </x:c>
      <x:c r="T106" s="332" t="str">
        <x:f>IF(OR(ISNUMBER(SEARCH("Cherry",D106)),ISNUMBER(SEARCH("C-Wren",D106))),"Cherry / C-Wren / KG",IF(OR(ISNUMBER(SEARCH("Rocky Fork",D106)),ISNUMBER(SEARCH("N.A. Property",D106))),"Rocky / New Albany",IF(ISNUMBER(SEARCH("Morsham",D106)),"Morsham / Eastern",IF(ISNUMBER(SEARCH("Park Properties",D106)),"Park",IF(OR(ISNUMBER(SEARCH("H.H.D",D106)),ISNUMBER(SEARCH("Family Property Trust",D106))),"HHD / Trust","Other")))))</x:f>
        <x:v>Cherry / C-Wren / KG</x:v>
      </x:c>
      <x:c r="U106" s="332" t="str">
        <x:f>S106&amp;"|"&amp;T106</x:f>
        <x:v>1997|Cherry / C-Wren / KG</x:v>
      </x:c>
    </x:row>
    <x:row r="107" ht="58" customHeight="1">
      <x:c r="A107" s="312" t="n">
        <x:v>35655.5</x:v>
      </x:c>
      <x:c r="B107" s="315" t="str">
        <x:v>199708130069608</x:v>
      </x:c>
      <x:c r="C107" s="315" t="str">
        <x:v>125168462</x:v>
      </x:c>
      <x:c r="D107" s="303" t="str">
        <x:v>Cherry Bottom Properties / Investors</x:v>
      </x:c>
      <x:c r="E107" s="303" t="str">
        <x:v>025-010028; 025-010029 | Parts of Lots 3 and 4, Cherry Bottom Commerce Park; acreage/area: 1.619</x:v>
      </x:c>
      <x:c r="F107" s="303"/>
      <x:c r="G107" s="303" t="str">
        <x:v>GENERAL WARRANTY DEED</x:v>
      </x:c>
      <x:c r="H107" s="303" t="str">
        <x:v>Cherry Bottom Properties, Inc.; Thomas H. Lurie; Nancy N. Lurie</x:v>
      </x:c>
      <x:c r="I107" s="303" t="str">
        <x:v>M.J.B. Joint Venture, an Ohio general partnership</x:v>
      </x:c>
      <x:c r="J107" s="303" t="str">
        <x:v>Cherry Bottom Properties, Inc. and the Luries execute as direct co-grantors; Leslie H. Wexner signs for the corporation as President. No successor-by-merger recital.</x:v>
      </x:c>
      <x:c r="K107" s="303" t="str">
        <x:v>Page 1 visibly reads “By: Leslie H. Wexner” and “Its: President.” $10 is deed consideration; $450 is recorder/index conveyance tax.</x:v>
      </x:c>
      <x:c r="L107" s="303" t="str">
        <x:v>Document face: $10 and other good and valuable consideration; Recorder/index tax or amount: $450 conveyance tax/index amount</x:v>
      </x:c>
      <x:c r="M107" s="315" t="str">
        <x:v>Prior: OR 16658J11; OR 11253J11; next/marginal: None stated</x:v>
      </x:c>
      <x:c r="N107" s="315" t="str">
        <x:v>next/marginal None stated</x:v>
      </x:c>
      <x:c r="O107" s="303" t="str">
        <x:v>https://franklin.oh.publicsearch.us/doc/125168462?department=RP</x:v>
      </x:c>
      <x:c r="P107" s="303" t="str">
        <x:v>Primary recorder images; all pages reviewed through OCR and the cited pages visually checked (visual_primary_plus_ocr).</x:v>
      </x:c>
      <x:c r="Q107" s="303" t="str">
        <x:v>Conveyance-tax/fee figures are not treated as sale price. Nominal stated consideration is not treated as sale price. Execution/effective date: 1997-08-07 (Cherry Bottom Properties, Inc.); 1997-08-06 (Luries acknowledged). An officer signature proves execution in the stated capacity, not beneficial ownership.</x:v>
      </x:c>
      <x:c r="R107" s="332" t="str">
        <x:f>IF(OR(ISNUMBER(SEARCH("zero public",P107)),ISNUMBER(SEARCH("unavailable",P107))),"Detail only","Image-backed")</x:f>
        <x:v>Image-backed</x:v>
      </x:c>
      <x:c r="S107" s="335" t="n">
        <x:f>IF(ISNUMBER(A107),YEAR(A107),VALUE(LEFT(A107,4)))</x:f>
        <x:v>1997</x:v>
      </x:c>
      <x:c r="T107" s="332" t="str">
        <x:f>IF(OR(ISNUMBER(SEARCH("Cherry",D107)),ISNUMBER(SEARCH("C-Wren",D107))),"Cherry / C-Wren / KG",IF(OR(ISNUMBER(SEARCH("Rocky Fork",D107)),ISNUMBER(SEARCH("N.A. Property",D107))),"Rocky / New Albany",IF(ISNUMBER(SEARCH("Morsham",D107)),"Morsham / Eastern",IF(ISNUMBER(SEARCH("Park Properties",D107)),"Park",IF(OR(ISNUMBER(SEARCH("H.H.D",D107)),ISNUMBER(SEARCH("Family Property Trust",D107))),"HHD / Trust","Other")))))</x:f>
        <x:v>Cherry / C-Wren / KG</x:v>
      </x:c>
      <x:c r="U107" s="332" t="str">
        <x:f>S107&amp;"|"&amp;T107</x:f>
        <x:v>1997|Cherry / C-Wren / KG</x:v>
      </x:c>
    </x:row>
    <x:row r="108" ht="58" customHeight="1">
      <x:c r="A108" s="312" t="n">
        <x:v>35682.5</x:v>
      </x:c>
      <x:c r="B108" s="315" t="str">
        <x:v>199709090089524</x:v>
      </x:c>
      <x:c r="C108" s="315" t="str">
        <x:v>125187911</x:v>
      </x:c>
      <x:c r="D108" s="303" t="str">
        <x:v>Morsham Land / Eastern Ohio Holding / New Albany</x:v>
      </x:c>
      <x:c r="E108" s="303" t="str">
        <x:v>Not restated; OR 33608H16 identifies 545-147940 and 545-147941. | 35.686-acre Summit Owner Property on the west side of Hamilton Road between Morse Road and State Route 161; modifies a 7.134-acre open-space easement to permit a planned storm-water retention lake and related structures, while preserving the remaining restrictions.</x:v>
      </x:c>
      <x:c r="F108" s="303" t="str">
        <x:v>35.686 acres; 7.134 acres</x:v>
      </x:c>
      <x:c r="G108" s="303" t="str">
        <x:v>First Modification of Deed of Easement and Modification of Restrictions</x:v>
      </x:c>
      <x:c r="H108" s="303" t="str">
        <x:v>Board of Park Commissioners of the Columbus and Franklin County Metropolitan Park District</x:v>
      </x:c>
      <x:c r="I108" s="303" t="str">
        <x:v>Summit Properties Partnership, L.P., identified on the opening page as Summit Properties Partnership, L.L.P., Owner</x:v>
      </x:c>
      <x:c r="J108" s="303" t="str">
        <x:v>The instrument recites that Summit owns the 35.686-acre Owner Property by OR 33608H16 and that the Park District holds a 7.134-acre open-space easement. Summit Properties Inc., a Maryland corporation, signs as general partner. No merger or Morsham-successor statement appears.</x:v>
      </x:c>
      <x:c r="K108" s="303" t="str">
        <x:v>MATERIAL DOWNSTREAM EASEMENT MODIFICATION. It directly identifies and modifies restrictions on the same 35.686-acre Summit tract carried forward from the Morsham chain. It is an encumbrance record, not a title conveyance or merger record.</x:v>
      </x:c>
      <x:c r="L108" s="303" t="str">
        <x:v>$1 and other good and valuable consideration; conveyance tax exempt.</x:v>
      </x:c>
      <x:c r="M108" s="315" t="str">
        <x:v>Owner deed OR 33608H16 / 199611150229245; original easement Deed Book 3599, page 258; May 10, 1996 modification OR 33402C15 / instrument 199610230215504; Kofile marginal references include 199610230215504 and B 3599258.</x:v>
      </x:c>
      <x:c r="N108" s="315"/>
      <x:c r="O108" s="303" t="str">
        <x:v>https://franklin.oh.publicsearch.us/doc/125187911?department=RP</x:v>
      </x:c>
      <x:c r="P108" s="303" t="str">
        <x:v>Primary recorder images; all pages OCRed and all three visually inspected. The L.P./L.L.P. face inconsistency is preserved rather than silently normalized.</x:v>
      </x:c>
      <x:c r="Q108" s="303" t="str">
        <x:v>Conveyance-tax/fee figures are not treated as sale price. Nominal stated consideration is not treated as sale price. Execution/effective date: 1997-09-03. Easement affects rights/use but does not transfer the fee.</x:v>
      </x:c>
      <x:c r="R108" s="332" t="str">
        <x:f>IF(OR(ISNUMBER(SEARCH("zero public",P108)),ISNUMBER(SEARCH("unavailable",P108))),"Detail only","Image-backed")</x:f>
        <x:v>Image-backed</x:v>
      </x:c>
      <x:c r="S108" s="335" t="n">
        <x:f>IF(ISNUMBER(A108),YEAR(A108),VALUE(LEFT(A108,4)))</x:f>
        <x:v>1997</x:v>
      </x:c>
      <x:c r="T108" s="332" t="str">
        <x:f>IF(OR(ISNUMBER(SEARCH("Cherry",D108)),ISNUMBER(SEARCH("C-Wren",D108))),"Cherry / C-Wren / KG",IF(OR(ISNUMBER(SEARCH("Rocky Fork",D108)),ISNUMBER(SEARCH("N.A. Property",D108))),"Rocky / New Albany",IF(ISNUMBER(SEARCH("Morsham",D108)),"Morsham / Eastern",IF(ISNUMBER(SEARCH("Park Properties",D108)),"Park",IF(OR(ISNUMBER(SEARCH("H.H.D",D108)),ISNUMBER(SEARCH("Family Property Trust",D108))),"HHD / Trust","Other")))))</x:f>
        <x:v>Morsham / Eastern</x:v>
      </x:c>
      <x:c r="U108" s="332" t="str">
        <x:f>S108&amp;"|"&amp;T108</x:f>
        <x:v>1997|Morsham / Eastern</x:v>
      </x:c>
    </x:row>
    <x:row r="109" ht="58" customHeight="1">
      <x:c r="A109" s="312" t="n">
        <x:v>35874.5</x:v>
      </x:c>
      <x:c r="B109" s="315" t="str">
        <x:v>199803200064851</x:v>
      </x:c>
      <x:c r="C109" s="315" t="str">
        <x:v>125339540</x:v>
      </x:c>
      <x:c r="D109" s="303" t="str">
        <x:v>Cherry Bottom Properties / Investors</x:v>
      </x:c>
      <x:c r="E109" s="303" t="str">
        <x:v>025-10026 | Lot 1, Cherry Bottom Commerce Park; acreage/area: 2.214</x:v>
      </x:c>
      <x:c r="F109" s="303"/>
      <x:c r="G109" s="303" t="str">
        <x:v>GENERAL WARRANTY DEED</x:v>
      </x:c>
      <x:c r="H109" s="303" t="str">
        <x:v>Cherry Bottom Properties, Inc.; Thomas H. Lurie; Nancy N. Lurie</x:v>
      </x:c>
      <x:c r="I109" s="303" t="str">
        <x:v>KinderCare Real Estate Corp., a wholly owned subsidiary of KinderCare Learning Centers, Inc.</x:v>
      </x:c>
      <x:c r="J109" s="303" t="str">
        <x:v>Cherry Bottom Properties, Inc. and the Luries execute as direct co-grantors; Leslie H. Wexner signs for the corporation as President. No successor-by-merger recital.</x:v>
      </x:c>
      <x:c r="K109" s="303" t="str">
        <x:v>Page 2 visibly reads “By: Leslie H. Wexner” and “Its: President.” $10 is deed consideration; $354 is recorder/index conveyance tax.</x:v>
      </x:c>
      <x:c r="L109" s="303" t="str">
        <x:v>Document face: $10 and other good and valuable consideration; Recorder/index tax or amount: $354 conveyance tax/index amount</x:v>
      </x:c>
      <x:c r="M109" s="315" t="str">
        <x:v>Prior: OR 16658J11; OR 11253J11; next/marginal: None stated</x:v>
      </x:c>
      <x:c r="N109" s="315" t="str">
        <x:v>next/marginal None stated</x:v>
      </x:c>
      <x:c r="O109" s="303" t="str">
        <x:v>https://franklin.oh.publicsearch.us/doc/125339540?department=RP</x:v>
      </x:c>
      <x:c r="P109" s="303" t="str">
        <x:v>Primary recorder images; all pages reviewed through OCR and the cited pages visually checked (visual_primary_plus_ocr).</x:v>
      </x:c>
      <x:c r="Q109" s="303" t="str">
        <x:v>Conveyance-tax/fee figures are not treated as sale price. Nominal stated consideration is not treated as sale price. Execution/effective date: 1998-03-20 (face); 1998-03-13 (Wexner acknowledgment); 1998-03-18 (Luries acknowledgment). An officer signature proves execution in the stated capacity, not beneficial ownership.</x:v>
      </x:c>
      <x:c r="R109" s="332" t="str">
        <x:f>IF(OR(ISNUMBER(SEARCH("zero public",P109)),ISNUMBER(SEARCH("unavailable",P109))),"Detail only","Image-backed")</x:f>
        <x:v>Image-backed</x:v>
      </x:c>
      <x:c r="S109" s="335" t="n">
        <x:f>IF(ISNUMBER(A109),YEAR(A109),VALUE(LEFT(A109,4)))</x:f>
        <x:v>1998</x:v>
      </x:c>
      <x:c r="T109" s="332" t="str">
        <x:f>IF(OR(ISNUMBER(SEARCH("Cherry",D109)),ISNUMBER(SEARCH("C-Wren",D109))),"Cherry / C-Wren / KG",IF(OR(ISNUMBER(SEARCH("Rocky Fork",D109)),ISNUMBER(SEARCH("N.A. Property",D109))),"Rocky / New Albany",IF(ISNUMBER(SEARCH("Morsham",D109)),"Morsham / Eastern",IF(ISNUMBER(SEARCH("Park Properties",D109)),"Park",IF(OR(ISNUMBER(SEARCH("H.H.D",D109)),ISNUMBER(SEARCH("Family Property Trust",D109))),"HHD / Trust","Other")))))</x:f>
        <x:v>Cherry / C-Wren / KG</x:v>
      </x:c>
      <x:c r="U109" s="332" t="str">
        <x:f>S109&amp;"|"&amp;T109</x:f>
        <x:v>1998|Cherry / C-Wren / KG</x:v>
      </x:c>
    </x:row>
    <x:row r="110" ht="58" customHeight="1">
      <x:c r="A110" s="312" t="n">
        <x:v>35928.5</x:v>
      </x:c>
      <x:c r="B110" s="315" t="str">
        <x:v>199805130116673</x:v>
      </x:c>
      <x:c r="C110" s="315" t="str">
        <x:v>125390238</x:v>
      </x:c>
      <x:c r="D110" s="303" t="str">
        <x:v>Epstein / H.H.D.&amp;B. / Rotunda House</x:v>
      </x:c>
      <x:c r="E110" s="303" t="str">
        <x:v>222-001350 | 5025 Granville Road</x:v>
      </x:c>
      <x:c r="F110" s="303" t="str">
        <x:v>30.368 acres plus appurtenant easement rights</x:v>
      </x:c>
      <x:c r="G110" s="303" t="str">
        <x:v>General warranty deed</x:v>
      </x:c>
      <x:c r="H110" s="303" t="str">
        <x:v>Jeffrey E. Epstein, unmarried</x:v>
      </x:c>
      <x:c r="I110" s="303" t="str">
        <x:v>H.H.D.&amp;B., LLC</x:v>
      </x:c>
      <x:c r="J110" s="303" t="str">
        <x:v>Epstein is individual fee grantor; H.H.D.&amp;B. is grantee.</x:v>
      </x:c>
      <x:c r="K110" s="303" t="str">
        <x:v>Conveys fee title and appurtenant easement rights to H.H.D.&amp;B.</x:v>
      </x:c>
      <x:c r="L110" s="303" t="str">
        <x:v>Valuable consideration paid, amount not stated; conveyance-tax stamp $8,000; Auditor transfer record separately reports $8,000,000.</x:v>
      </x:c>
      <x:c r="M110" s="315" t="str">
        <x:v>OR 20149 C18; easement OR 21049 D03</x:v>
      </x:c>
      <x:c r="N110" s="315" t="str">
        <x:v>200112270301721</x:v>
      </x:c>
      <x:c r="O110" s="303" t="str">
        <x:v>https://franklin.oh.publicsearch.us/doc/125390238?department=RP</x:v>
      </x:c>
      <x:c r="P110" s="303" t="str">
        <x:v>Primary recorder images retrieved; OCR reviewed; material pages visually inspected.</x:v>
      </x:c>
      <x:c r="Q110" s="303" t="str">
        <x:v>The conveyance-tax stamp is not itself the deed's stated purchase price; the Auditor figure is a separate transfer-record field. Conveyance-tax/fee figures are not treated as sale price.</x:v>
      </x:c>
      <x:c r="R110" s="332" t="str">
        <x:f>IF(OR(ISNUMBER(SEARCH("zero public",P110)),ISNUMBER(SEARCH("unavailable",P110))),"Detail only","Image-backed")</x:f>
        <x:v>Image-backed</x:v>
      </x:c>
      <x:c r="S110" s="335" t="n">
        <x:f>IF(ISNUMBER(A110),YEAR(A110),VALUE(LEFT(A110,4)))</x:f>
        <x:v>1998</x:v>
      </x:c>
      <x:c r="T110" s="332" t="str">
        <x:f>IF(OR(ISNUMBER(SEARCH("Cherry",D110)),ISNUMBER(SEARCH("C-Wren",D110))),"Cherry / C-Wren / KG",IF(OR(ISNUMBER(SEARCH("Rocky Fork",D110)),ISNUMBER(SEARCH("N.A. Property",D110))),"Rocky / New Albany",IF(ISNUMBER(SEARCH("Morsham",D110)),"Morsham / Eastern",IF(ISNUMBER(SEARCH("Park Properties",D110)),"Park",IF(OR(ISNUMBER(SEARCH("H.H.D",D110)),ISNUMBER(SEARCH("Family Property Trust",D110))),"HHD / Trust","Other")))))</x:f>
        <x:v>HHD / Trust</x:v>
      </x:c>
      <x:c r="U110" s="332" t="str">
        <x:f>S110&amp;"|"&amp;T110</x:f>
        <x:v>1998|HHD / Trust</x:v>
      </x:c>
    </x:row>
    <x:row r="111" ht="58" customHeight="1">
      <x:c r="A111" s="312" t="n">
        <x:v>35962.5</x:v>
      </x:c>
      <x:c r="B111" s="315" t="str">
        <x:v>199806160149251</x:v>
      </x:c>
      <x:c r="C111" s="315" t="str">
        <x:v>125422276</x:v>
      </x:c>
      <x:c r="D111" s="303" t="str">
        <x:v>Rocky Fork Development / The New Albany Company</x:v>
      </x:c>
      <x:c r="E111" s="303" t="str">
        <x:v>Hinson property</x:v>
      </x:c>
      <x:c r="F111" s="303" t="str">
        <x:v>24.642 acres</x:v>
      </x:c>
      <x:c r="G111" s="303" t="str">
        <x:v>release of mortgage</x:v>
      </x:c>
      <x:c r="H111" s="303" t="str">
        <x:v>The New Albany Company (mortgagee/releasor)</x:v>
      </x:c>
      <x:c r="I111" s="303" t="str">
        <x:v>Charles W. Hinson and C. Charleen Hinson (mortgagors)</x:v>
      </x:c>
      <x:c r="J111" s="303" t="str">
        <x:v>none; image does not mention Rocky Fork</x:v>
      </x:c>
      <x:c r="K111" s="303" t="str">
        <x:v>Releases a New Albany mortgage on Hinson property; no Rocky Fork title, debt, or post-dissolution action.</x:v>
      </x:c>
      <x:c r="L111" s="303" t="str">
        <x:v>valuable consideration acknowledged; financing context: New Albany mortgage release; unrelated to Rocky Fork except a false marginal-reference collision.</x:v>
      </x:c>
      <x:c r="M111" s="315" t="str">
        <x:v>Mortgage Records 10996 H09</x:v>
      </x:c>
      <x:c r="N111" s="315"/>
      <x:c r="O111" s="303" t="str">
        <x:v>https://franklin.oh.publicsearch.us/doc/125422276?department=RP</x:v>
      </x:c>
      <x:c r="P111" s="303" t="str">
        <x:v>image_visual_verified</x:v>
      </x:c>
      <x:c r="Q111" s="303" t="str">
        <x:v>The registry links this to 1987 partnership instrument 130327027 because both cite volume/page 10996 H09 in different record-book classes. The image has no Rocky Fork reference. Execution/effective date: 1998-06.</x:v>
      </x:c>
      <x:c r="R111" s="332" t="str">
        <x:f>IF(OR(ISNUMBER(SEARCH("zero public",P111)),ISNUMBER(SEARCH("unavailable",P111))),"Detail only","Image-backed")</x:f>
        <x:v>Image-backed</x:v>
      </x:c>
      <x:c r="S111" s="335" t="n">
        <x:f>IF(ISNUMBER(A111),YEAR(A111),VALUE(LEFT(A111,4)))</x:f>
        <x:v>1998</x:v>
      </x:c>
      <x:c r="T111" s="332" t="str">
        <x:f>IF(OR(ISNUMBER(SEARCH("Cherry",D111)),ISNUMBER(SEARCH("C-Wren",D111))),"Cherry / C-Wren / KG",IF(OR(ISNUMBER(SEARCH("Rocky Fork",D111)),ISNUMBER(SEARCH("N.A. Property",D111))),"Rocky / New Albany",IF(ISNUMBER(SEARCH("Morsham",D111)),"Morsham / Eastern",IF(ISNUMBER(SEARCH("Park Properties",D111)),"Park",IF(OR(ISNUMBER(SEARCH("H.H.D",D111)),ISNUMBER(SEARCH("Family Property Trust",D111))),"HHD / Trust","Other")))))</x:f>
        <x:v>Rocky / New Albany</x:v>
      </x:c>
      <x:c r="U111" s="332" t="str">
        <x:f>S111&amp;"|"&amp;T111</x:f>
        <x:v>1998|Rocky / New Albany</x:v>
      </x:c>
    </x:row>
    <x:row r="112" ht="58" customHeight="1">
      <x:c r="A112" s="312" t="n">
        <x:v>37252.5</x:v>
      </x:c>
      <x:c r="B112" s="315" t="str">
        <x:v>200112270301721</x:v>
      </x:c>
      <x:c r="C112" s="315" t="str">
        <x:v>126471505</x:v>
      </x:c>
      <x:c r="D112" s="303" t="str">
        <x:v>Epstein / H.H.D.&amp;B. / Rotunda House</x:v>
      </x:c>
      <x:c r="E112" s="303" t="str">
        <x:v>222-001350 | 30.368-acre Rotunda House tract</x:v>
      </x:c>
      <x:c r="F112" s="303" t="str">
        <x:v>30.368 acres</x:v>
      </x:c>
      <x:c r="G112" s="303" t="str">
        <x:v>Notice of commencement</x:v>
      </x:c>
      <x:c r="H112" s="303" t="str">
        <x:v>HHD&amp;B LLC (contracting party)</x:v>
      </x:c>
      <x:c r="I112" s="303" t="str">
        <x:v>Contractors / lien claimants</x:v>
      </x:c>
      <x:c r="J112" s="303" t="str">
        <x:v>HHD&amp;B is listed owner/part owner/lessee contracting for Rotunda House alterations.</x:v>
      </x:c>
      <x:c r="K112" s="303" t="str">
        <x:v>Construction/mechanic's-lien notice only; no title transfer.</x:v>
      </x:c>
      <x:c r="L112" s="303" t="str">
        <x:v>Improvement-financing lenders field states 'None.'</x:v>
      </x:c>
      <x:c r="M112" s="315" t="str">
        <x:v>OR 16999 E10 / 199805130116673 title chain</x:v>
      </x:c>
      <x:c r="N112" s="315"/>
      <x:c r="O112" s="303" t="str">
        <x:v>https://franklin.oh.publicsearch.us/doc/126471505?department=RP</x:v>
      </x:c>
      <x:c r="P112" s="303" t="str">
        <x:v>Primary recorder images retrieved; OCR reviewed; material pages visually inspected.</x:v>
      </x:c>
      <x:c r="Q112" s="303" t="str">
        <x:v>'None' answers only the notice's improvement-financing question; it does not establish an absence of acquisition debt or other mortgages.</x:v>
      </x:c>
      <x:c r="R112" s="332" t="str">
        <x:f>IF(OR(ISNUMBER(SEARCH("zero public",P112)),ISNUMBER(SEARCH("unavailable",P112))),"Detail only","Image-backed")</x:f>
        <x:v>Image-backed</x:v>
      </x:c>
      <x:c r="S112" s="335" t="n">
        <x:f>IF(ISNUMBER(A112),YEAR(A112),VALUE(LEFT(A112,4)))</x:f>
        <x:v>2001</x:v>
      </x:c>
      <x:c r="T112" s="332" t="str">
        <x:f>IF(OR(ISNUMBER(SEARCH("Cherry",D112)),ISNUMBER(SEARCH("C-Wren",D112))),"Cherry / C-Wren / KG",IF(OR(ISNUMBER(SEARCH("Rocky Fork",D112)),ISNUMBER(SEARCH("N.A. Property",D112))),"Rocky / New Albany",IF(ISNUMBER(SEARCH("Morsham",D112)),"Morsham / Eastern",IF(ISNUMBER(SEARCH("Park Properties",D112)),"Park",IF(OR(ISNUMBER(SEARCH("H.H.D",D112)),ISNUMBER(SEARCH("Family Property Trust",D112))),"HHD / Trust","Other")))))</x:f>
        <x:v>HHD / Trust</x:v>
      </x:c>
      <x:c r="U112" s="332" t="str">
        <x:f>S112&amp;"|"&amp;T112</x:f>
        <x:v>2001|HHD / Trust</x:v>
      </x:c>
    </x:row>
    <x:row r="113" ht="58" customHeight="1">
      <x:c r="A113" s="312" t="n">
        <x:v>37327.5</x:v>
      </x:c>
      <x:c r="B113" s="315" t="str">
        <x:v>200203120064378</x:v>
      </x:c>
      <x:c r="C113" s="315" t="str">
        <x:v>126537615</x:v>
      </x:c>
      <x:c r="D113" s="303" t="str">
        <x:v>N.A. Property / School House</x:v>
      </x:c>
      <x:c r="E113" s="303" t="str">
        <x:v>Kitzmiller Road School House tract; source deed DB 1375 p.270</x:v>
      </x:c>
      <x:c r="F113" s="303" t="str">
        <x:v>2.549 acres</x:v>
      </x:c>
      <x:c r="G113" s="303" t="str">
        <x:v>Notice of commencement</x:v>
      </x:c>
      <x:c r="H113" s="303" t="str">
        <x:v>Leslie H. Wexner and N.A. Property, Inc. (listed contracting party)</x:v>
      </x:c>
      <x:c r="I113" s="303" t="str">
        <x:v>Contractors / lien claimants</x:v>
      </x:c>
      <x:c r="J113" s="303" t="str">
        <x:v>Listed as owner/part owner/lessee contracting for improvements; fee-owner field left blank.</x:v>
      </x:c>
      <x:c r="K113" s="303" t="str">
        <x:v>Construction/mechanic's-lien notice only; no transfer of fee title.</x:v>
      </x:c>
      <x:c r="L113" s="303" t="str">
        <x:v>Improvement-financing lenders field states 'None.'</x:v>
      </x:c>
      <x:c r="M113" s="315"/>
      <x:c r="N113" s="315"/>
      <x:c r="O113" s="303" t="str">
        <x:v>https://franklin.oh.publicsearch.us/doc/126537615?department=RP</x:v>
      </x:c>
      <x:c r="P113" s="303" t="str">
        <x:v>Primary recorder images retrieved; OCR reviewed; material pages visually inspected.</x:v>
      </x:c>
      <x:c r="Q113" s="303" t="str">
        <x:v>'None' answers only the notice's improvement-financing question; it does not prove the property was free of acquisition debt or other mortgages.</x:v>
      </x:c>
      <x:c r="R113" s="332" t="str">
        <x:f>IF(OR(ISNUMBER(SEARCH("zero public",P113)),ISNUMBER(SEARCH("unavailable",P113))),"Detail only","Image-backed")</x:f>
        <x:v>Image-backed</x:v>
      </x:c>
      <x:c r="S113" s="335" t="n">
        <x:f>IF(ISNUMBER(A113),YEAR(A113),VALUE(LEFT(A113,4)))</x:f>
        <x:v>2002</x:v>
      </x:c>
      <x:c r="T113" s="332" t="str">
        <x:f>IF(OR(ISNUMBER(SEARCH("Cherry",D113)),ISNUMBER(SEARCH("C-Wren",D113))),"Cherry / C-Wren / KG",IF(OR(ISNUMBER(SEARCH("Rocky Fork",D113)),ISNUMBER(SEARCH("N.A. Property",D113))),"Rocky / New Albany",IF(ISNUMBER(SEARCH("Morsham",D113)),"Morsham / Eastern",IF(ISNUMBER(SEARCH("Park Properties",D113)),"Park",IF(OR(ISNUMBER(SEARCH("H.H.D",D113)),ISNUMBER(SEARCH("Family Property Trust",D113))),"HHD / Trust","Other")))))</x:f>
        <x:v>Rocky / New Albany</x:v>
      </x:c>
      <x:c r="U113" s="332" t="str">
        <x:f>S113&amp;"|"&amp;T113</x:f>
        <x:v>2002|Rocky / New Albany</x:v>
      </x:c>
    </x:row>
    <x:row r="114" ht="58" customHeight="1">
      <x:c r="A114" s="312" t="n">
        <x:v>39436.5</x:v>
      </x:c>
      <x:c r="B114" s="315" t="str">
        <x:v>200712270220043</x:v>
      </x:c>
      <x:c r="C114" s="315" t="str">
        <x:v>128235138</x:v>
      </x:c>
      <x:c r="D114" s="303" t="str">
        <x:v>Wexner / Epstein power of attorney</x:v>
      </x:c>
      <x:c r="E114" s="303" t="str">
        <x:v>No parcel; revokes 1991 broad authority</x:v>
      </x:c>
      <x:c r="F114" s="303"/>
      <x:c r="G114" s="303" t="str">
        <x:v>Revocation of power of attorney (recorded 2007-12-27)</x:v>
      </x:c>
      <x:c r="H114" s="303" t="str">
        <x:v>Leslie H. Wexner</x:v>
      </x:c>
      <x:c r="I114" s="303" t="str">
        <x:v>Jeffrey E. Epstein (revoked attorney-in-fact)</x:v>
      </x:c>
      <x:c r="J114" s="303" t="str">
        <x:v>Wexner revokes the recorded 1991 appointment.</x:v>
      </x:c>
      <x:c r="K114" s="303" t="str">
        <x:v>Terminates agency authority; no parcel or lien transfer.</x:v>
      </x:c>
      <x:c r="L114" s="303" t="str">
        <x:v>No transaction consideration or debt.</x:v>
      </x:c>
      <x:c r="M114" s="315" t="str">
        <x:v>199907290192823</x:v>
      </x:c>
      <x:c r="N114" s="315"/>
      <x:c r="O114" s="303" t="str">
        <x:v>https://franklin.oh.publicsearch.us/doc/128235138?department=RP</x:v>
      </x:c>
      <x:c r="P114" s="303" t="str">
        <x:v>Primary recorder images retrieved; OCR reviewed; material pages visually inspected.</x:v>
      </x:c>
      <x:c r="Q114" s="303" t="str">
        <x:v>Execution date is used for the chronology; the revocation was recorded on 2007-12-27.</x:v>
      </x:c>
      <x:c r="R114" s="332" t="str">
        <x:f>IF(OR(ISNUMBER(SEARCH("zero public",P114)),ISNUMBER(SEARCH("unavailable",P114))),"Detail only","Image-backed")</x:f>
        <x:v>Image-backed</x:v>
      </x:c>
      <x:c r="S114" s="335" t="n">
        <x:f>IF(ISNUMBER(A114),YEAR(A114),VALUE(LEFT(A114,4)))</x:f>
        <x:v>2007</x:v>
      </x:c>
      <x:c r="T114" s="332" t="str">
        <x:f>IF(OR(ISNUMBER(SEARCH("Cherry",D114)),ISNUMBER(SEARCH("C-Wren",D114))),"Cherry / C-Wren / KG",IF(OR(ISNUMBER(SEARCH("Rocky Fork",D114)),ISNUMBER(SEARCH("N.A. Property",D114))),"Rocky / New Albany",IF(ISNUMBER(SEARCH("Morsham",D114)),"Morsham / Eastern",IF(ISNUMBER(SEARCH("Park Properties",D114)),"Park",IF(OR(ISNUMBER(SEARCH("H.H.D",D114)),ISNUMBER(SEARCH("Family Property Trust",D114))),"HHD / Trust","Other")))))</x:f>
        <x:v>Other</x:v>
      </x:c>
      <x:c r="U114" s="332" t="str">
        <x:f>S114&amp;"|"&amp;T114</x:f>
        <x:v>2007|Other</x:v>
      </x:c>
    </x:row>
    <x:row r="115" ht="58" customHeight="1">
      <x:c r="A115" s="312" t="n">
        <x:v>39443.5</x:v>
      </x:c>
      <x:c r="B115" s="315" t="str">
        <x:v>200712270220208</x:v>
      </x:c>
      <x:c r="C115" s="315" t="str">
        <x:v>128235305</x:v>
      </x:c>
      <x:c r="D115" s="303" t="str">
        <x:v>1990 Family Property Trust A</x:v>
      </x:c>
      <x:c r="E115" s="303" t="str">
        <x:v>222-001301 | 7558 King George Drive</x:v>
      </x:c>
      <x:c r="F115" s="303" t="str">
        <x:v>Lot 18; acreage not stated</x:v>
      </x:c>
      <x:c r="G115" s="303" t="str">
        <x:v>Affidavit of successor trustee</x:v>
      </x:c>
      <x:c r="H115" s="303" t="str">
        <x:v>Leslie H. Wexner, grantor/affiant</x:v>
      </x:c>
      <x:c r="I115" s="303" t="str">
        <x:v>Abigail S. Wexner and Walter J. Novembre, successor co-trustees</x:v>
      </x:c>
      <x:c r="J115" s="303" t="str">
        <x:v>Affidavit recounts: trust created 1990-10-19; Epstein initial trustee; removed as sole trustee and appointed co-trustee 1993-02-01; resigned in 1995; later successor-trustee changes.</x:v>
      </x:c>
      <x:c r="K115" s="303" t="str">
        <x:v>Directs records to reflect the successor co-trustees as fee-simple title holders.</x:v>
      </x:c>
      <x:c r="L115" s="303" t="str">
        <x:v>No sale consideration or debt.</x:v>
      </x:c>
      <x:c r="M115" s="315" t="str">
        <x:v>199407070171228 / OR 26909 A08</x:v>
      </x:c>
      <x:c r="N115" s="315"/>
      <x:c r="O115" s="303" t="str">
        <x:v>https://franklin.oh.publicsearch.us/doc/128235305?department=RP</x:v>
      </x:c>
      <x:c r="P115" s="303" t="str">
        <x:v>Primary recorder images retrieved; OCR reviewed; material pages visually inspected.</x:v>
      </x:c>
      <x:c r="Q115" s="303" t="str">
        <x:v>Affidavit records Wexner's sworn title/trustee history; it does not disclose beneficiaries, distributions, or financing.</x:v>
      </x:c>
      <x:c r="R115" s="332" t="str">
        <x:f>IF(OR(ISNUMBER(SEARCH("zero public",P115)),ISNUMBER(SEARCH("unavailable",P115))),"Detail only","Image-backed")</x:f>
        <x:v>Image-backed</x:v>
      </x:c>
      <x:c r="S115" s="335" t="n">
        <x:f>IF(ISNUMBER(A115),YEAR(A115),VALUE(LEFT(A115,4)))</x:f>
        <x:v>2007</x:v>
      </x:c>
      <x:c r="T115" s="332" t="str">
        <x:f>IF(OR(ISNUMBER(SEARCH("Cherry",D115)),ISNUMBER(SEARCH("C-Wren",D115))),"Cherry / C-Wren / KG",IF(OR(ISNUMBER(SEARCH("Rocky Fork",D115)),ISNUMBER(SEARCH("N.A. Property",D115))),"Rocky / New Albany",IF(ISNUMBER(SEARCH("Morsham",D115)),"Morsham / Eastern",IF(ISNUMBER(SEARCH("Park Properties",D115)),"Park",IF(OR(ISNUMBER(SEARCH("H.H.D",D115)),ISNUMBER(SEARCH("Family Property Trust",D115))),"HHD / Trust","Other")))))</x:f>
        <x:v>HHD / Trust</x:v>
      </x:c>
      <x:c r="U115" s="332" t="str">
        <x:f>S115&amp;"|"&amp;T115</x:f>
        <x:v>2007|HHD / Trust</x:v>
      </x:c>
    </x:row>
    <x:row r="116" ht="58" customHeight="1">
      <x:c r="A116" s="312" t="n">
        <x:v>39545.5</x:v>
      </x:c>
      <x:c r="B116" s="315" t="str">
        <x:v>200804070052880</x:v>
      </x:c>
      <x:c r="C116" s="315" t="str">
        <x:v>128288725</x:v>
      </x:c>
      <x:c r="D116" s="303" t="str">
        <x:v>Morsham Land / Eastern Ohio Holding / New Albany</x:v>
      </x:c>
      <x:c r="E116" s="303" t="str">
        <x:v>220-000276; 220-000013 | Plain Township, Quarter Township 2, Sections 4 and 5, Township 2, Range 16, USML; 108.060 gross acres, 0.464 acre in Harlem Road right-of-way, 107.596 net acres. Perpetual wetland restrictions cover separately described 12.712-acre and 7.661-acre areas.</x:v>
      </x:c>
      <x:c r="F116" s="303" t="str">
        <x:v>108.060 gross acres; 0.464 acre; 107.596 net acres; 12.712 acres; 7.661 acres</x:v>
      </x:c>
      <x:c r="G116" s="303" t="str">
        <x:v>Declaration of Restrictions</x:v>
      </x:c>
      <x:c r="H116" s="303" t="str">
        <x:v>The New Albany Company LLC, a Delaware limited liability company, as Owner and Declarant</x:v>
      </x:c>
      <x:c r="I116" s="303" t="str">
        <x:v>No conventional grantee; the restrictions run with and burden the property, benefit the respective property owners and successors, and reserve enforcement rights described for the Owner and parks authorities.</x:v>
      </x:c>
      <x:c r="J116" s="303" t="str">
        <x:v>Declarant recites that it owns the property and took title by OR 34304J13 and instrument 199711120289607. OR 34304J13 is the separately recorded 1997 deed 199702180037606. This ownership recital does not state or prove how The New Albany Company Limited Partnership became The New Albany Company LLC.</x:v>
      </x:c>
      <x:c r="K116" s="303" t="str">
        <x:v>MATERIAL DOWNSTREAM RESTRICTION ON A SEPARATE MORSHAM-DERIVED ASSET CLUSTER. The declaration burdens property for which the 1997 source deed is in the Morsham/Eastern Ohio/Black Sheep chain. It is not part of the 35.686-acre Summit tract and its ownership recital is not statutory proof of an LP-to-LLC merger or conversion.</x:v>
      </x:c>
      <x:c r="L116" s="303" t="str">
        <x:v>No conveyance consideration or debt; conveyance tax exempt.</x:v>
      </x:c>
      <x:c r="M116" s="315" t="str">
        <x:v>OR 34304J13 / instrument 199702180037606; instrument 199711120289607; Kofile marginal link to 199702180037606.</x:v>
      </x:c>
      <x:c r="N116" s="315"/>
      <x:c r="O116" s="303" t="str">
        <x:v>https://franklin.oh.publicsearch.us/doc/128288725?department=RP</x:v>
      </x:c>
      <x:c r="P116" s="303" t="str">
        <x:v>Primary recorder images; all 13 pages OCRed; declaration, title recital, execution/notary, gross/net acreage, and both wetland descriptions visually verified.</x:v>
      </x:c>
      <x:c r="Q116" s="303" t="str">
        <x:v>Conveyance-tax/fee figures are not treated as sale price. Execution/effective date: 2008-04-03.</x:v>
      </x:c>
      <x:c r="R116" s="332" t="str">
        <x:f>IF(OR(ISNUMBER(SEARCH("zero public",P116)),ISNUMBER(SEARCH("unavailable",P116))),"Detail only","Image-backed")</x:f>
        <x:v>Image-backed</x:v>
      </x:c>
      <x:c r="S116" s="335" t="n">
        <x:f>IF(ISNUMBER(A116),YEAR(A116),VALUE(LEFT(A116,4)))</x:f>
        <x:v>2008</x:v>
      </x:c>
      <x:c r="T116" s="332" t="str">
        <x:f>IF(OR(ISNUMBER(SEARCH("Cherry",D116)),ISNUMBER(SEARCH("C-Wren",D116))),"Cherry / C-Wren / KG",IF(OR(ISNUMBER(SEARCH("Rocky Fork",D116)),ISNUMBER(SEARCH("N.A. Property",D116))),"Rocky / New Albany",IF(ISNUMBER(SEARCH("Morsham",D116)),"Morsham / Eastern",IF(ISNUMBER(SEARCH("Park Properties",D116)),"Park",IF(OR(ISNUMBER(SEARCH("H.H.D",D116)),ISNUMBER(SEARCH("Family Property Trust",D116))),"HHD / Trust","Other")))))</x:f>
        <x:v>Morsham / Eastern</x:v>
      </x:c>
      <x:c r="U116" s="332" t="str">
        <x:f>S116&amp;"|"&amp;T116</x:f>
        <x:v>2008|Morsham / Eastern</x:v>
      </x:c>
    </x:row>
    <x:row r="117" ht="58" customHeight="1">
      <x:c r="A117" s="312" t="n">
        <x:v>41274.5</x:v>
      </x:c>
      <x:c r="B117" s="315" t="str">
        <x:v>201212310201338</x:v>
      </x:c>
      <x:c r="C117" s="315" t="str">
        <x:v>121663938</x:v>
      </x:c>
      <x:c r="D117" s="303" t="str">
        <x:v>Morsham Land / Eastern Ohio Holding / New Albany</x:v>
      </x:c>
      <x:c r="E117" s="303" t="str">
        <x:v>545-280181; 545-180180 | 40.809 acres out of Town &amp; Country City, Inc.'s original 269-acre tract; 24.166 acres in APN 545-280181 and 16.643 acres in APN 545-180180. The Morsham remainder is an adjoining corner/boundary only and is not conveyed.</x:v>
      </x:c>
      <x:c r="F117" s="303" t="str">
        <x:v>40.809 acres; 269 acres; 24.166 acres; 16.643 acres</x:v>
      </x:c>
      <x:c r="G117" s="303" t="str">
        <x:v>Limited Warranty Deed</x:v>
      </x:c>
      <x:c r="H117" s="303" t="str">
        <x:v>Town &amp; Country City, Inc., an Ohio corporation</x:v>
      </x:c>
      <x:c r="I117" s="303" t="str">
        <x:v>The New Albany Company LLC, a Delaware limited liability company</x:v>
      </x:c>
      <x:c r="J117" s="303" t="str">
        <x:v>Ordinary limited-warranty grant. Neither party acts for Morsham or claims to be Morsham's successor. The legal description mentions the remainder of Morsham's original 50.086-acre tract only as one of several adjoining tracts at a common corner.</x:v>
      </x:c>
      <x:c r="K117" s="303" t="str">
        <x:v>HISTORICAL LEGAL-REFERENCE / ADJACENCY HIT ONLY. This deed conveys Town &amp; Country land to New Albany, not Morsham-derived land. It should not be counted as a Morsham title or successor-chain instrument.</x:v>
      </x:c>
      <x:c r="L117" s="303" t="str">
        <x:v>$10 and other good and valuable consideration; auditor stamp shows $3,544.30 mandatory and $3,544.30 permissive conveyance fees.</x:v>
      </x:c>
      <x:c r="M117" s="315" t="str">
        <x:v>Prior instruments 200602280037517 and 200001190012686; Morsham OR 11024A15 appears only in the boundary call.</x:v>
      </x:c>
      <x:c r="N117" s="315"/>
      <x:c r="O117" s="303" t="str">
        <x:v>https://franklin.oh.publicsearch.us/doc/121663938?department=RP</x:v>
      </x:c>
      <x:c r="P117" s="303" t="str">
        <x:v>Primary recorder images; all pages OCRed; face, conveyance-fee stamp, execution/notary, source tract, and Morsham boundary-only clause visually verified.</x:v>
      </x:c>
      <x:c r="Q117" s="303" t="str">
        <x:v>Nominal stated consideration is not treated as sale price. Execution/effective date: 2012-12-20. Boundary-reference hit only; excluded from the Morsham-derived title chain.</x:v>
      </x:c>
      <x:c r="R117" s="332" t="str">
        <x:f>IF(OR(ISNUMBER(SEARCH("zero public",P117)),ISNUMBER(SEARCH("unavailable",P117))),"Detail only","Image-backed")</x:f>
        <x:v>Image-backed</x:v>
      </x:c>
      <x:c r="S117" s="335" t="n">
        <x:f>IF(ISNUMBER(A117),YEAR(A117),VALUE(LEFT(A117,4)))</x:f>
        <x:v>2012</x:v>
      </x:c>
      <x:c r="T117" s="332" t="str">
        <x:f>IF(OR(ISNUMBER(SEARCH("Cherry",D117)),ISNUMBER(SEARCH("C-Wren",D117))),"Cherry / C-Wren / KG",IF(OR(ISNUMBER(SEARCH("Rocky Fork",D117)),ISNUMBER(SEARCH("N.A. Property",D117))),"Rocky / New Albany",IF(ISNUMBER(SEARCH("Morsham",D117)),"Morsham / Eastern",IF(ISNUMBER(SEARCH("Park Properties",D117)),"Park",IF(OR(ISNUMBER(SEARCH("H.H.D",D117)),ISNUMBER(SEARCH("Family Property Trust",D117))),"HHD / Trust","Other")))))</x:f>
        <x:v>Morsham / Eastern</x:v>
      </x:c>
      <x:c r="U117" s="332" t="str">
        <x:f>S117&amp;"|"&amp;T117</x:f>
        <x:v>2012|Morsham / Eastern</x:v>
      </x:c>
    </x:row>
    <x:row r="118" ht="58" customHeight="1">
      <x:c r="A118" s="312" t="n">
        <x:v>41274.5</x:v>
      </x:c>
      <x:c r="B118" s="315" t="str">
        <x:v>201212310201339</x:v>
      </x:c>
      <x:c r="C118" s="315" t="str">
        <x:v>121663944</x:v>
      </x:c>
      <x:c r="D118" s="303" t="str">
        <x:v>Morsham Land / Eastern Ohio Holding / New Albany</x:v>
      </x:c>
      <x:c r="E118" s="303" t="str">
        <x:v>545-175659; 545-175661 | 65.122 acres from Harper's 99.129-acre Parcel Two and 2.342-acre Parcel Three; 2.360 surveyed acres in APN 545-175659 and 62.762 acres in APN 545-175661. Morsham's 50.086-acre remainder is an adjoining boundary and no part of it is conveyed.</x:v>
      </x:c>
      <x:c r="F118" s="303" t="str">
        <x:v>65.122 acres; 99.129 acres; 2.342 acres; 2.360 surveyed acres; 62.762 acres; 50.086 acres</x:v>
      </x:c>
      <x:c r="G118" s="303" t="str">
        <x:v>Limited Warranty Deed</x:v>
      </x:c>
      <x:c r="H118" s="303" t="str">
        <x:v>Stephen L. Harper, Trustee under a Nominee Agreement dated June 5, 1998</x:v>
      </x:c>
      <x:c r="I118" s="303" t="str">
        <x:v>The New Albany Company LLC, a Delaware limited liability company</x:v>
      </x:c>
      <x:c r="J118" s="303" t="str">
        <x:v>Stephen L. Harper signs only in his stated trustee capacity. Neither party acts for Morsham or claims to be its successor. The legal description uses the remainder of Morsham's original 50.086-acre tract as the adjoining easterly/westerly boundary along Hamilton Road.</x:v>
      </x:c>
      <x:c r="K118" s="303" t="str">
        <x:v>HISTORICAL LEGAL-REFERENCE / ADJACENCY HIT ONLY. This deed conveys Harper-trustee land to New Albany, not Morsham-derived land. It should not be counted as a Morsham title or successor-chain instrument.</x:v>
      </x:c>
      <x:c r="L118" s="303" t="str">
        <x:v>$10 and other good and valuable consideration; auditor stamp shows $5,655.00 mandatory and $5,655.00 permissive conveyance fees.</x:v>
      </x:c>
      <x:c r="M118" s="315" t="str">
        <x:v>Prior instrument 200404290096691; Morsham OR 11024A15 appears only in boundary calls; later Kofile marginal reference 201609160125483.</x:v>
      </x:c>
      <x:c r="N118" s="315"/>
      <x:c r="O118" s="303" t="str">
        <x:v>https://franklin.oh.publicsearch.us/doc/121663944?department=RP</x:v>
      </x:c>
      <x:c r="P118" s="303" t="str">
        <x:v>Primary recorder images; all pages OCRed; face, conveyance-fee stamp, trustee execution/notary, source tract, acreage allocation, and Morsham boundary-only clauses visually verified.</x:v>
      </x:c>
      <x:c r="Q118" s="303" t="str">
        <x:v>Nominal stated consideration is not treated as sale price. Execution/effective date: 2012-12-20. Boundary-reference hit only; excluded from the Morsham-derived title chain.</x:v>
      </x:c>
      <x:c r="R118" s="332" t="str">
        <x:f>IF(OR(ISNUMBER(SEARCH("zero public",P118)),ISNUMBER(SEARCH("unavailable",P118))),"Detail only","Image-backed")</x:f>
        <x:v>Image-backed</x:v>
      </x:c>
      <x:c r="S118" s="335" t="n">
        <x:f>IF(ISNUMBER(A118),YEAR(A118),VALUE(LEFT(A118,4)))</x:f>
        <x:v>2012</x:v>
      </x:c>
      <x:c r="T118" s="332" t="str">
        <x:f>IF(OR(ISNUMBER(SEARCH("Cherry",D118)),ISNUMBER(SEARCH("C-Wren",D118))),"Cherry / C-Wren / KG",IF(OR(ISNUMBER(SEARCH("Rocky Fork",D118)),ISNUMBER(SEARCH("N.A. Property",D118))),"Rocky / New Albany",IF(ISNUMBER(SEARCH("Morsham",D118)),"Morsham / Eastern",IF(ISNUMBER(SEARCH("Park Properties",D118)),"Park",IF(OR(ISNUMBER(SEARCH("H.H.D",D118)),ISNUMBER(SEARCH("Family Property Trust",D118))),"HHD / Trust","Other")))))</x:f>
        <x:v>Morsham / Eastern</x:v>
      </x:c>
      <x:c r="U118" s="332" t="str">
        <x:f>S118&amp;"|"&amp;T118</x:f>
        <x:v>2012|Morsham / Eastern</x:v>
      </x:c>
    </x:row>
    <x:row r="119" ht="58" customHeight="1">
      <x:c r="A119" s="312" t="n">
        <x:v>42482.5</x:v>
      </x:c>
      <x:c r="B119" s="315" t="str">
        <x:v>201604220049451</x:v>
      </x:c>
      <x:c r="C119" s="315" t="str">
        <x:v>122283634</x:v>
      </x:c>
      <x:c r="D119" s="303" t="str">
        <x:v>Morsham Land / Eastern Ohio Holding / New Albany</x:v>
      </x:c>
      <x:c r="E119" s="303" t="str">
        <x:v>545-147940 | Legal begins with the original 50.086 acres, then excepts the prior 35.686-acre conveyance and the 13.249-acre Morsham component of the later 34.058-acre tract. The residual acreage is not expressly totaled.</x:v>
      </x:c>
      <x:c r="F119" s="303" t="str">
        <x:v>50.086 acres; 35.686 acres; 13.249 acres; 34.058 acres</x:v>
      </x:c>
      <x:c r="G119" s="303" t="str">
        <x:v>Quitclaim Deed</x:v>
      </x:c>
      <x:c r="H119" s="303" t="str">
        <x:v>Morsham Land Corporation</x:v>
      </x:c>
      <x:c r="I119" s="303" t="str">
        <x:v>City of Columbus</x:v>
      </x:c>
      <x:c r="J119" s="303" t="str">
        <x:v>Morsham remains the nominal grantor; the deed is prepared under New Albany Company LLC's direction and gives Morsham's mailing address c/o New Albany. It does not itself recite the merger chain.</x:v>
      </x:c>
      <x:c r="K119" s="303" t="str">
        <x:v>MATERIAL RESIDUAL CONVEYANCE. It shows New Albany operationally directing a Morsham quitclaim to Columbus. The deed alone does not prove the corporate succession mechanism.</x:v>
      </x:c>
      <x:c r="L119" s="303" t="str">
        <x:v>Valuable consideration, amount unstated.</x:v>
      </x:c>
      <x:c r="M119" s="315" t="str">
        <x:v>Prior instrument 198801060052123; companion affidavit 201604220049452 recorded one second later.</x:v>
      </x:c>
      <x:c r="N119" s="315"/>
      <x:c r="O119" s="303" t="str">
        <x:v>https://franklin.oh.publicsearch.us/doc/122283634?department=RP</x:v>
      </x:c>
      <x:c r="P119" s="303" t="str">
        <x:v>Primary recorder images; every page OCRed; deed face, grantor/grantee, tax/return addresses, signer/title, notary, preparation line, prior reference, legal exceptions, and recording time visually verified.</x:v>
      </x:c>
      <x:c r="Q119" s="303" t="str">
        <x:v>Execution/effective date: 2016-04-19.</x:v>
      </x:c>
      <x:c r="R119" s="332" t="str">
        <x:f>IF(OR(ISNUMBER(SEARCH("zero public",P119)),ISNUMBER(SEARCH("unavailable",P119))),"Detail only","Image-backed")</x:f>
        <x:v>Image-backed</x:v>
      </x:c>
      <x:c r="S119" s="335" t="n">
        <x:f>IF(ISNUMBER(A119),YEAR(A119),VALUE(LEFT(A119,4)))</x:f>
        <x:v>2016</x:v>
      </x:c>
      <x:c r="T119" s="332" t="str">
        <x:f>IF(OR(ISNUMBER(SEARCH("Cherry",D119)),ISNUMBER(SEARCH("C-Wren",D119))),"Cherry / C-Wren / KG",IF(OR(ISNUMBER(SEARCH("Rocky Fork",D119)),ISNUMBER(SEARCH("N.A. Property",D119))),"Rocky / New Albany",IF(ISNUMBER(SEARCH("Morsham",D119)),"Morsham / Eastern",IF(ISNUMBER(SEARCH("Park Properties",D119)),"Park",IF(OR(ISNUMBER(SEARCH("H.H.D",D119)),ISNUMBER(SEARCH("Family Property Trust",D119))),"HHD / Trust","Other")))))</x:f>
        <x:v>Morsham / Eastern</x:v>
      </x:c>
      <x:c r="U119" s="332" t="str">
        <x:f>S119&amp;"|"&amp;T119</x:f>
        <x:v>2016|Morsham / Eastern</x:v>
      </x:c>
    </x:row>
    <x:row r="120" ht="58" customHeight="1">
      <x:c r="A120" s="313" t="n">
        <x:v>42482.5</x:v>
      </x:c>
      <x:c r="B120" s="316" t="str">
        <x:v>201604220049452</x:v>
      </x:c>
      <x:c r="C120" s="316" t="str">
        <x:v>122283636</x:v>
      </x:c>
      <x:c r="D120" s="304" t="str">
        <x:v>Morsham Land / Eastern Ohio Holding / New Albany</x:v>
      </x:c>
      <x:c r="E120" s="304" t="str">
        <x:v>545-147940 | Legal exhibit tracks the companion deed's residual component of the original 50.086-acre Morsham tract.</x:v>
      </x:c>
      <x:c r="F120" s="304" t="str">
        <x:v>50.086 acres</x:v>
      </x:c>
      <x:c r="G120" s="304" t="str">
        <x:v>Affidavit on Facts Relating to Title</x:v>
      </x:c>
      <x:c r="H120" s="304" t="str">
        <x:v>Brent B. Bradbury, Treasurer of The New Albany Company LLC, as affiant</x:v>
      </x:c>
      <x:c r="I120" s="304" t="str">
        <x:v>Filed to support conveyance of the property to the City of Columbus</x:v>
      </x:c>
      <x:c r="J120" s="304" t="str">
        <x:v>The affidavit asserts Morsham was a wholly-owned affiliate, merged out on 1995-12-29, and that New Albany Company LLC is successor-in-interest to all Morsham real estate/assets. It does not name the statutory survivor or identify intermediate entities.</x:v>
      </x:c>
      <x:c r="K120" s="304" t="str">
        <x:v>MATERIAL ASSERTED ULTIMATE-SUCCESSOR EVIDENCE. It supports New Albany Company LLC as the asserted ultimate asset/title successor, but it is not the 1995 statutory merger certificate and does not resolve Eastern Ohio's intermediate corporate role.</x:v>
      </x:c>
      <x:c r="L120" s="304" t="str">
        <x:v>No consideration or debt; title affidavit.</x:v>
      </x:c>
      <x:c r="M120" s="316" t="str">
        <x:v>Prior instrument 198801060052123; companion deed 201604220049451 recorded one second earlier.</x:v>
      </x:c>
      <x:c r="N120" s="316"/>
      <x:c r="O120" s="304" t="str">
        <x:v>https://franklin.oh.publicsearch.us/doc/122283636?department=RP</x:v>
      </x:c>
      <x:c r="P120" s="304" t="str">
        <x:v>Primary recorder images; every page OCRed; all five numbered title assertions, signer/title, acknowledgment, prior reference, legal, and one-second recording sequence visually verified.</x:v>
      </x:c>
      <x:c r="Q120" s="304" t="str">
        <x:v>Recorder recital supports this land-title/capacity event but is not the underlying statutory merger certificate. Execution/effective date: 2016-04-19. Affidavit states an asserted ultimate asset successor but does not identify the 1995 statutory survivor or all intermediate entities.</x:v>
      </x:c>
      <x:c r="R120" s="333" t="str">
        <x:f>IF(OR(ISNUMBER(SEARCH("zero public",P120)),ISNUMBER(SEARCH("unavailable",P120))),"Detail only","Image-backed")</x:f>
        <x:v>Image-backed</x:v>
      </x:c>
      <x:c r="S120" s="336" t="n">
        <x:f>IF(ISNUMBER(A120),YEAR(A120),VALUE(LEFT(A120,4)))</x:f>
        <x:v>2016</x:v>
      </x:c>
      <x:c r="T120" s="333" t="str">
        <x:f>IF(OR(ISNUMBER(SEARCH("Cherry",D120)),ISNUMBER(SEARCH("C-Wren",D120))),"Cherry / C-Wren / KG",IF(OR(ISNUMBER(SEARCH("Rocky Fork",D120)),ISNUMBER(SEARCH("N.A. Property",D120))),"Rocky / New Albany",IF(ISNUMBER(SEARCH("Morsham",D120)),"Morsham / Eastern",IF(ISNUMBER(SEARCH("Park Properties",D120)),"Park",IF(OR(ISNUMBER(SEARCH("H.H.D",D120)),ISNUMBER(SEARCH("Family Property Trust",D120))),"HHD / Trust","Other")))))</x:f>
        <x:v>Morsham / Eastern</x:v>
      </x:c>
      <x:c r="U120" s="333" t="str">
        <x:f>S120&amp;"|"&amp;T120</x:f>
        <x:v>2016|Morsham / Eastern</x:v>
      </x:c>
    </x:row>
  </x:sheetData>
  <x:mergeCells>
    <x:mergeCell ref="A1:Q1"/>
    <x:mergeCell ref="A2:Q2"/>
  </x:mergeCells>
  <x:conditionalFormatting sqref="R5:R120">
    <x:cfRule type="containsText" dxfId="1" priority="1" operator="containsText" text="Detail only"/>
    <x:cfRule type="containsText" dxfId="2" priority="2" operator="containsText" text="Image-backed"/>
  </x:conditionalFormatting>
  <x:pageMargins left="0.7" right="0.7" top="0.75" bottom="0.75" header="0.3" footer="0.3"/>
  <x:tableParts count="1">
    <x:tablePart xmlns:r="http://schemas.openxmlformats.org/officeDocument/2006/relationships" r:id="R730772c87c214c6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3" t="str">
        <x:v>Recorder activity by year</x:v>
      </x:c>
      <x:c r="B1" s="3"/>
      <x:c r="C1" s="3"/>
      <x:c r="D1" s="3"/>
      <x:c r="E1" s="3"/>
      <x:c r="F1" s="3"/>
      <x:c r="G1" s="3"/>
      <x:c r="H1" s="3"/>
      <x:c r="I1" s="3"/>
      <x:c r="J1" s="3"/>
      <x:c r="K1" s="3"/>
      <x:c r="L1" s="3"/>
      <x:c r="M1" s="3"/>
      <x:c r="N1" s="3"/>
      <x:c r="O1" s="3"/>
      <x:c r="P1" s="3"/>
      <x:c r="Q1" s="3"/>
      <x:c r="R1" s="3"/>
    </x:row>
    <x:row r="2" ht="36" customHeight="1">
      <x:c r="A2" s="12" t="str">
        <x:v>Formula-driven counts from the normalized parcel chronology. Peaks identify documentary activity, not transaction value or beneficial ownership.</x:v>
      </x:c>
      <x:c r="B2" s="13"/>
      <x:c r="C2" s="13"/>
      <x:c r="D2" s="13"/>
      <x:c r="E2" s="13"/>
      <x:c r="F2" s="13"/>
      <x:c r="G2" s="13"/>
      <x:c r="H2" s="13"/>
      <x:c r="I2" s="13"/>
      <x:c r="J2" s="13"/>
      <x:c r="K2" s="13"/>
      <x:c r="L2" s="13"/>
      <x:c r="M2" s="13"/>
      <x:c r="N2" s="13"/>
      <x:c r="O2" s="13"/>
      <x:c r="P2" s="13"/>
      <x:c r="Q2" s="13"/>
      <x:c r="R2" s="14"/>
    </x:row>
    <x:row r="4">
      <x:c r="A4" s="321" t="str">
        <x:v>Year</x:v>
      </x:c>
      <x:c r="B4" s="322" t="str">
        <x:v>Total events</x:v>
      </x:c>
      <x:c r="C4" s="322" t="str">
        <x:v>Cherry / C-Wren / KG</x:v>
      </x:c>
      <x:c r="D4" s="322" t="str">
        <x:v>Rocky / New Albany</x:v>
      </x:c>
      <x:c r="E4" s="322" t="str">
        <x:v>Morsham / Eastern</x:v>
      </x:c>
      <x:c r="F4" s="322" t="str">
        <x:v>Park</x:v>
      </x:c>
      <x:c r="G4" s="322" t="str">
        <x:v>HHD / Trust</x:v>
      </x:c>
      <x:c r="H4" s="323" t="str">
        <x:v>Other</x:v>
      </x:c>
    </x:row>
    <x:row r="5" ht="22" customHeight="1">
      <x:c r="A5" s="337" t="n">
        <x:v>1984</x:v>
      </x:c>
      <x:c r="B5" s="337" t="n">
        <x:f>COUNTIF('Parcel Chronology'!$S$5:$S$120,$A5)</x:f>
        <x:v>3</x:v>
      </x:c>
      <x:c r="C5" s="337" t="n">
        <x:f>COUNTIF('Parcel Chronology'!$U$5:$U$120,$A5&amp;"|Cherry / C-Wren / KG")</x:f>
        <x:v>0</x:v>
      </x:c>
      <x:c r="D5" s="337" t="n">
        <x:f>COUNTIF('Parcel Chronology'!$U$5:$U$120,$A5&amp;"|Rocky / New Albany")</x:f>
        <x:v>0</x:v>
      </x:c>
      <x:c r="E5" s="337" t="n">
        <x:f>COUNTIF('Parcel Chronology'!$U$5:$U$120,$A5&amp;"|Morsham / Eastern")</x:f>
        <x:v>0</x:v>
      </x:c>
      <x:c r="F5" s="337" t="n">
        <x:f>COUNTIF('Parcel Chronology'!$U$5:$U$120,$A5&amp;"|Park")</x:f>
        <x:v>3</x:v>
      </x:c>
      <x:c r="G5" s="337" t="n">
        <x:f>COUNTIF('Parcel Chronology'!$U$5:$U$120,$A5&amp;"|HHD / Trust")</x:f>
        <x:v>0</x:v>
      </x:c>
      <x:c r="H5" s="337" t="n">
        <x:f>COUNTIF('Parcel Chronology'!$U$5:$U$120,$A5&amp;"|Other")</x:f>
        <x:v>0</x:v>
      </x:c>
    </x:row>
    <x:row r="6" ht="22" customHeight="1">
      <x:c r="A6" s="338" t="n">
        <x:v>1985</x:v>
      </x:c>
      <x:c r="B6" s="338" t="n">
        <x:f>COUNTIF('Parcel Chronology'!$S$5:$S$120,$A6)</x:f>
        <x:v>5</x:v>
      </x:c>
      <x:c r="C6" s="338" t="n">
        <x:f>COUNTIF('Parcel Chronology'!$U$5:$U$120,$A6&amp;"|Cherry / C-Wren / KG")</x:f>
        <x:v>0</x:v>
      </x:c>
      <x:c r="D6" s="338" t="n">
        <x:f>COUNTIF('Parcel Chronology'!$U$5:$U$120,$A6&amp;"|Rocky / New Albany")</x:f>
        <x:v>0</x:v>
      </x:c>
      <x:c r="E6" s="338" t="n">
        <x:f>COUNTIF('Parcel Chronology'!$U$5:$U$120,$A6&amp;"|Morsham / Eastern")</x:f>
        <x:v>0</x:v>
      </x:c>
      <x:c r="F6" s="338" t="n">
        <x:f>COUNTIF('Parcel Chronology'!$U$5:$U$120,$A6&amp;"|Park")</x:f>
        <x:v>5</x:v>
      </x:c>
      <x:c r="G6" s="338" t="n">
        <x:f>COUNTIF('Parcel Chronology'!$U$5:$U$120,$A6&amp;"|HHD / Trust")</x:f>
        <x:v>0</x:v>
      </x:c>
      <x:c r="H6" s="338" t="n">
        <x:f>COUNTIF('Parcel Chronology'!$U$5:$U$120,$A6&amp;"|Other")</x:f>
        <x:v>0</x:v>
      </x:c>
    </x:row>
    <x:row r="7" ht="22" customHeight="1">
      <x:c r="A7" s="338" t="n">
        <x:v>1986</x:v>
      </x:c>
      <x:c r="B7" s="338" t="n">
        <x:f>COUNTIF('Parcel Chronology'!$S$5:$S$120,$A7)</x:f>
        <x:v>3</x:v>
      </x:c>
      <x:c r="C7" s="338" t="n">
        <x:f>COUNTIF('Parcel Chronology'!$U$5:$U$120,$A7&amp;"|Cherry / C-Wren / KG")</x:f>
        <x:v>0</x:v>
      </x:c>
      <x:c r="D7" s="338" t="n">
        <x:f>COUNTIF('Parcel Chronology'!$U$5:$U$120,$A7&amp;"|Rocky / New Albany")</x:f>
        <x:v>0</x:v>
      </x:c>
      <x:c r="E7" s="338" t="n">
        <x:f>COUNTIF('Parcel Chronology'!$U$5:$U$120,$A7&amp;"|Morsham / Eastern")</x:f>
        <x:v>0</x:v>
      </x:c>
      <x:c r="F7" s="338" t="n">
        <x:f>COUNTIF('Parcel Chronology'!$U$5:$U$120,$A7&amp;"|Park")</x:f>
        <x:v>2</x:v>
      </x:c>
      <x:c r="G7" s="338" t="n">
        <x:f>COUNTIF('Parcel Chronology'!$U$5:$U$120,$A7&amp;"|HHD / Trust")</x:f>
        <x:v>0</x:v>
      </x:c>
      <x:c r="H7" s="338" t="n">
        <x:f>COUNTIF('Parcel Chronology'!$U$5:$U$120,$A7&amp;"|Other")</x:f>
        <x:v>1</x:v>
      </x:c>
    </x:row>
    <x:row r="8" ht="22" customHeight="1">
      <x:c r="A8" s="338" t="n">
        <x:v>1987</x:v>
      </x:c>
      <x:c r="B8" s="338" t="n">
        <x:f>COUNTIF('Parcel Chronology'!$S$5:$S$120,$A8)</x:f>
        <x:v>9</x:v>
      </x:c>
      <x:c r="C8" s="338" t="n">
        <x:f>COUNTIF('Parcel Chronology'!$U$5:$U$120,$A8&amp;"|Cherry / C-Wren / KG")</x:f>
        <x:v>0</x:v>
      </x:c>
      <x:c r="D8" s="338" t="n">
        <x:f>COUNTIF('Parcel Chronology'!$U$5:$U$120,$A8&amp;"|Rocky / New Albany")</x:f>
        <x:v>7</x:v>
      </x:c>
      <x:c r="E8" s="338" t="n">
        <x:f>COUNTIF('Parcel Chronology'!$U$5:$U$120,$A8&amp;"|Morsham / Eastern")</x:f>
        <x:v>0</x:v>
      </x:c>
      <x:c r="F8" s="338" t="n">
        <x:f>COUNTIF('Parcel Chronology'!$U$5:$U$120,$A8&amp;"|Park")</x:f>
        <x:v>1</x:v>
      </x:c>
      <x:c r="G8" s="338" t="n">
        <x:f>COUNTIF('Parcel Chronology'!$U$5:$U$120,$A8&amp;"|HHD / Trust")</x:f>
        <x:v>0</x:v>
      </x:c>
      <x:c r="H8" s="338" t="n">
        <x:f>COUNTIF('Parcel Chronology'!$U$5:$U$120,$A8&amp;"|Other")</x:f>
        <x:v>1</x:v>
      </x:c>
    </x:row>
    <x:row r="9" ht="22" customHeight="1">
      <x:c r="A9" s="338" t="n">
        <x:v>1988</x:v>
      </x:c>
      <x:c r="B9" s="338" t="n">
        <x:f>COUNTIF('Parcel Chronology'!$S$5:$S$120,$A9)</x:f>
        <x:v>3</x:v>
      </x:c>
      <x:c r="C9" s="338" t="n">
        <x:f>COUNTIF('Parcel Chronology'!$U$5:$U$120,$A9&amp;"|Cherry / C-Wren / KG")</x:f>
        <x:v>1</x:v>
      </x:c>
      <x:c r="D9" s="338" t="n">
        <x:f>COUNTIF('Parcel Chronology'!$U$5:$U$120,$A9&amp;"|Rocky / New Albany")</x:f>
        <x:v>1</x:v>
      </x:c>
      <x:c r="E9" s="338" t="n">
        <x:f>COUNTIF('Parcel Chronology'!$U$5:$U$120,$A9&amp;"|Morsham / Eastern")</x:f>
        <x:v>1</x:v>
      </x:c>
      <x:c r="F9" s="338" t="n">
        <x:f>COUNTIF('Parcel Chronology'!$U$5:$U$120,$A9&amp;"|Park")</x:f>
        <x:v>0</x:v>
      </x:c>
      <x:c r="G9" s="338" t="n">
        <x:f>COUNTIF('Parcel Chronology'!$U$5:$U$120,$A9&amp;"|HHD / Trust")</x:f>
        <x:v>0</x:v>
      </x:c>
      <x:c r="H9" s="338" t="n">
        <x:f>COUNTIF('Parcel Chronology'!$U$5:$U$120,$A9&amp;"|Other")</x:f>
        <x:v>0</x:v>
      </x:c>
    </x:row>
    <x:row r="10" ht="22" customHeight="1">
      <x:c r="A10" s="338" t="n">
        <x:v>1989</x:v>
      </x:c>
      <x:c r="B10" s="338" t="n">
        <x:f>COUNTIF('Parcel Chronology'!$S$5:$S$120,$A10)</x:f>
        <x:v>1</x:v>
      </x:c>
      <x:c r="C10" s="338" t="n">
        <x:f>COUNTIF('Parcel Chronology'!$U$5:$U$120,$A10&amp;"|Cherry / C-Wren / KG")</x:f>
        <x:v>0</x:v>
      </x:c>
      <x:c r="D10" s="338" t="n">
        <x:f>COUNTIF('Parcel Chronology'!$U$5:$U$120,$A10&amp;"|Rocky / New Albany")</x:f>
        <x:v>1</x:v>
      </x:c>
      <x:c r="E10" s="338" t="n">
        <x:f>COUNTIF('Parcel Chronology'!$U$5:$U$120,$A10&amp;"|Morsham / Eastern")</x:f>
        <x:v>0</x:v>
      </x:c>
      <x:c r="F10" s="338" t="n">
        <x:f>COUNTIF('Parcel Chronology'!$U$5:$U$120,$A10&amp;"|Park")</x:f>
        <x:v>0</x:v>
      </x:c>
      <x:c r="G10" s="338" t="n">
        <x:f>COUNTIF('Parcel Chronology'!$U$5:$U$120,$A10&amp;"|HHD / Trust")</x:f>
        <x:v>0</x:v>
      </x:c>
      <x:c r="H10" s="338" t="n">
        <x:f>COUNTIF('Parcel Chronology'!$U$5:$U$120,$A10&amp;"|Other")</x:f>
        <x:v>0</x:v>
      </x:c>
    </x:row>
    <x:row r="11" ht="22" customHeight="1">
      <x:c r="A11" s="338" t="n">
        <x:v>1990</x:v>
      </x:c>
      <x:c r="B11" s="338" t="n">
        <x:f>COUNTIF('Parcel Chronology'!$S$5:$S$120,$A11)</x:f>
        <x:v>3</x:v>
      </x:c>
      <x:c r="C11" s="338" t="n">
        <x:f>COUNTIF('Parcel Chronology'!$U$5:$U$120,$A11&amp;"|Cherry / C-Wren / KG")</x:f>
        <x:v>2</x:v>
      </x:c>
      <x:c r="D11" s="338" t="n">
        <x:f>COUNTIF('Parcel Chronology'!$U$5:$U$120,$A11&amp;"|Rocky / New Albany")</x:f>
        <x:v>0</x:v>
      </x:c>
      <x:c r="E11" s="338" t="n">
        <x:f>COUNTIF('Parcel Chronology'!$U$5:$U$120,$A11&amp;"|Morsham / Eastern")</x:f>
        <x:v>0</x:v>
      </x:c>
      <x:c r="F11" s="338" t="n">
        <x:f>COUNTIF('Parcel Chronology'!$U$5:$U$120,$A11&amp;"|Park")</x:f>
        <x:v>1</x:v>
      </x:c>
      <x:c r="G11" s="338" t="n">
        <x:f>COUNTIF('Parcel Chronology'!$U$5:$U$120,$A11&amp;"|HHD / Trust")</x:f>
        <x:v>0</x:v>
      </x:c>
      <x:c r="H11" s="338" t="n">
        <x:f>COUNTIF('Parcel Chronology'!$U$5:$U$120,$A11&amp;"|Other")</x:f>
        <x:v>0</x:v>
      </x:c>
    </x:row>
    <x:row r="12" ht="22" customHeight="1">
      <x:c r="A12" s="338" t="n">
        <x:v>1991</x:v>
      </x:c>
      <x:c r="B12" s="338" t="n">
        <x:f>COUNTIF('Parcel Chronology'!$S$5:$S$120,$A12)</x:f>
        <x:v>16</x:v>
      </x:c>
      <x:c r="C12" s="338" t="n">
        <x:f>COUNTIF('Parcel Chronology'!$U$5:$U$120,$A12&amp;"|Cherry / C-Wren / KG")</x:f>
        <x:v>9</x:v>
      </x:c>
      <x:c r="D12" s="338" t="n">
        <x:f>COUNTIF('Parcel Chronology'!$U$5:$U$120,$A12&amp;"|Rocky / New Albany")</x:f>
        <x:v>6</x:v>
      </x:c>
      <x:c r="E12" s="338" t="n">
        <x:f>COUNTIF('Parcel Chronology'!$U$5:$U$120,$A12&amp;"|Morsham / Eastern")</x:f>
        <x:v>0</x:v>
      </x:c>
      <x:c r="F12" s="338" t="n">
        <x:f>COUNTIF('Parcel Chronology'!$U$5:$U$120,$A12&amp;"|Park")</x:f>
        <x:v>0</x:v>
      </x:c>
      <x:c r="G12" s="338" t="n">
        <x:f>COUNTIF('Parcel Chronology'!$U$5:$U$120,$A12&amp;"|HHD / Trust")</x:f>
        <x:v>0</x:v>
      </x:c>
      <x:c r="H12" s="338" t="n">
        <x:f>COUNTIF('Parcel Chronology'!$U$5:$U$120,$A12&amp;"|Other")</x:f>
        <x:v>1</x:v>
      </x:c>
    </x:row>
    <x:row r="13" ht="22" customHeight="1">
      <x:c r="A13" s="338" t="n">
        <x:v>1992</x:v>
      </x:c>
      <x:c r="B13" s="338" t="n">
        <x:f>COUNTIF('Parcel Chronology'!$S$5:$S$120,$A13)</x:f>
        <x:v>22</x:v>
      </x:c>
      <x:c r="C13" s="338" t="n">
        <x:f>COUNTIF('Parcel Chronology'!$U$5:$U$120,$A13&amp;"|Cherry / C-Wren / KG")</x:f>
        <x:v>6</x:v>
      </x:c>
      <x:c r="D13" s="338" t="n">
        <x:f>COUNTIF('Parcel Chronology'!$U$5:$U$120,$A13&amp;"|Rocky / New Albany")</x:f>
        <x:v>11</x:v>
      </x:c>
      <x:c r="E13" s="338" t="n">
        <x:f>COUNTIF('Parcel Chronology'!$U$5:$U$120,$A13&amp;"|Morsham / Eastern")</x:f>
        <x:v>0</x:v>
      </x:c>
      <x:c r="F13" s="338" t="n">
        <x:f>COUNTIF('Parcel Chronology'!$U$5:$U$120,$A13&amp;"|Park")</x:f>
        <x:v>1</x:v>
      </x:c>
      <x:c r="G13" s="338" t="n">
        <x:f>COUNTIF('Parcel Chronology'!$U$5:$U$120,$A13&amp;"|HHD / Trust")</x:f>
        <x:v>2</x:v>
      </x:c>
      <x:c r="H13" s="338" t="n">
        <x:f>COUNTIF('Parcel Chronology'!$U$5:$U$120,$A13&amp;"|Other")</x:f>
        <x:v>2</x:v>
      </x:c>
    </x:row>
    <x:row r="14" ht="22" customHeight="1">
      <x:c r="A14" s="338" t="n">
        <x:v>1993</x:v>
      </x:c>
      <x:c r="B14" s="338" t="n">
        <x:f>COUNTIF('Parcel Chronology'!$S$5:$S$120,$A14)</x:f>
        <x:v>15</x:v>
      </x:c>
      <x:c r="C14" s="338" t="n">
        <x:f>COUNTIF('Parcel Chronology'!$U$5:$U$120,$A14&amp;"|Cherry / C-Wren / KG")</x:f>
        <x:v>12</x:v>
      </x:c>
      <x:c r="D14" s="338" t="n">
        <x:f>COUNTIF('Parcel Chronology'!$U$5:$U$120,$A14&amp;"|Rocky / New Albany")</x:f>
        <x:v>0</x:v>
      </x:c>
      <x:c r="E14" s="338" t="n">
        <x:f>COUNTIF('Parcel Chronology'!$U$5:$U$120,$A14&amp;"|Morsham / Eastern")</x:f>
        <x:v>0</x:v>
      </x:c>
      <x:c r="F14" s="338" t="n">
        <x:f>COUNTIF('Parcel Chronology'!$U$5:$U$120,$A14&amp;"|Park")</x:f>
        <x:v>3</x:v>
      </x:c>
      <x:c r="G14" s="338" t="n">
        <x:f>COUNTIF('Parcel Chronology'!$U$5:$U$120,$A14&amp;"|HHD / Trust")</x:f>
        <x:v>0</x:v>
      </x:c>
      <x:c r="H14" s="338" t="n">
        <x:f>COUNTIF('Parcel Chronology'!$U$5:$U$120,$A14&amp;"|Other")</x:f>
        <x:v>0</x:v>
      </x:c>
    </x:row>
    <x:row r="15" ht="22" customHeight="1">
      <x:c r="A15" s="338" t="n">
        <x:v>1994</x:v>
      </x:c>
      <x:c r="B15" s="338" t="n">
        <x:f>COUNTIF('Parcel Chronology'!$S$5:$S$120,$A15)</x:f>
        <x:v>3</x:v>
      </x:c>
      <x:c r="C15" s="338" t="n">
        <x:f>COUNTIF('Parcel Chronology'!$U$5:$U$120,$A15&amp;"|Cherry / C-Wren / KG")</x:f>
        <x:v>0</x:v>
      </x:c>
      <x:c r="D15" s="338" t="n">
        <x:f>COUNTIF('Parcel Chronology'!$U$5:$U$120,$A15&amp;"|Rocky / New Albany")</x:f>
        <x:v>0</x:v>
      </x:c>
      <x:c r="E15" s="338" t="n">
        <x:f>COUNTIF('Parcel Chronology'!$U$5:$U$120,$A15&amp;"|Morsham / Eastern")</x:f>
        <x:v>1</x:v>
      </x:c>
      <x:c r="F15" s="338" t="n">
        <x:f>COUNTIF('Parcel Chronology'!$U$5:$U$120,$A15&amp;"|Park")</x:f>
        <x:v>0</x:v>
      </x:c>
      <x:c r="G15" s="338" t="n">
        <x:f>COUNTIF('Parcel Chronology'!$U$5:$U$120,$A15&amp;"|HHD / Trust")</x:f>
        <x:v>1</x:v>
      </x:c>
      <x:c r="H15" s="338" t="n">
        <x:f>COUNTIF('Parcel Chronology'!$U$5:$U$120,$A15&amp;"|Other")</x:f>
        <x:v>1</x:v>
      </x:c>
    </x:row>
    <x:row r="16" ht="22" customHeight="1">
      <x:c r="A16" s="338" t="n">
        <x:v>1995</x:v>
      </x:c>
      <x:c r="B16" s="338" t="n">
        <x:f>COUNTIF('Parcel Chronology'!$S$5:$S$120,$A16)</x:f>
        <x:v>7</x:v>
      </x:c>
      <x:c r="C16" s="338" t="n">
        <x:f>COUNTIF('Parcel Chronology'!$U$5:$U$120,$A16&amp;"|Cherry / C-Wren / KG")</x:f>
        <x:v>4</x:v>
      </x:c>
      <x:c r="D16" s="338" t="n">
        <x:f>COUNTIF('Parcel Chronology'!$U$5:$U$120,$A16&amp;"|Rocky / New Albany")</x:f>
        <x:v>0</x:v>
      </x:c>
      <x:c r="E16" s="338" t="n">
        <x:f>COUNTIF('Parcel Chronology'!$U$5:$U$120,$A16&amp;"|Morsham / Eastern")</x:f>
        <x:v>2</x:v>
      </x:c>
      <x:c r="F16" s="338" t="n">
        <x:f>COUNTIF('Parcel Chronology'!$U$5:$U$120,$A16&amp;"|Park")</x:f>
        <x:v>0</x:v>
      </x:c>
      <x:c r="G16" s="338" t="n">
        <x:f>COUNTIF('Parcel Chronology'!$U$5:$U$120,$A16&amp;"|HHD / Trust")</x:f>
        <x:v>0</x:v>
      </x:c>
      <x:c r="H16" s="338" t="n">
        <x:f>COUNTIF('Parcel Chronology'!$U$5:$U$120,$A16&amp;"|Other")</x:f>
        <x:v>1</x:v>
      </x:c>
    </x:row>
    <x:row r="17" ht="22" customHeight="1">
      <x:c r="A17" s="338" t="n">
        <x:v>1996</x:v>
      </x:c>
      <x:c r="B17" s="338" t="n">
        <x:f>COUNTIF('Parcel Chronology'!$S$5:$S$120,$A17)</x:f>
        <x:v>8</x:v>
      </x:c>
      <x:c r="C17" s="338" t="n">
        <x:f>COUNTIF('Parcel Chronology'!$U$5:$U$120,$A17&amp;"|Cherry / C-Wren / KG")</x:f>
        <x:v>3</x:v>
      </x:c>
      <x:c r="D17" s="338" t="n">
        <x:f>COUNTIF('Parcel Chronology'!$U$5:$U$120,$A17&amp;"|Rocky / New Albany")</x:f>
        <x:v>0</x:v>
      </x:c>
      <x:c r="E17" s="338" t="n">
        <x:f>COUNTIF('Parcel Chronology'!$U$5:$U$120,$A17&amp;"|Morsham / Eastern")</x:f>
        <x:v>4</x:v>
      </x:c>
      <x:c r="F17" s="338" t="n">
        <x:f>COUNTIF('Parcel Chronology'!$U$5:$U$120,$A17&amp;"|Park")</x:f>
        <x:v>1</x:v>
      </x:c>
      <x:c r="G17" s="338" t="n">
        <x:f>COUNTIF('Parcel Chronology'!$U$5:$U$120,$A17&amp;"|HHD / Trust")</x:f>
        <x:v>0</x:v>
      </x:c>
      <x:c r="H17" s="338" t="n">
        <x:f>COUNTIF('Parcel Chronology'!$U$5:$U$120,$A17&amp;"|Other")</x:f>
        <x:v>0</x:v>
      </x:c>
    </x:row>
    <x:row r="18" ht="22" customHeight="1">
      <x:c r="A18" s="338" t="n">
        <x:v>1997</x:v>
      </x:c>
      <x:c r="B18" s="338" t="n">
        <x:f>COUNTIF('Parcel Chronology'!$S$5:$S$120,$A18)</x:f>
        <x:v>6</x:v>
      </x:c>
      <x:c r="C18" s="338" t="n">
        <x:f>COUNTIF('Parcel Chronology'!$U$5:$U$120,$A18&amp;"|Cherry / C-Wren / KG")</x:f>
        <x:v>3</x:v>
      </x:c>
      <x:c r="D18" s="338" t="n">
        <x:f>COUNTIF('Parcel Chronology'!$U$5:$U$120,$A18&amp;"|Rocky / New Albany")</x:f>
        <x:v>0</x:v>
      </x:c>
      <x:c r="E18" s="338" t="n">
        <x:f>COUNTIF('Parcel Chronology'!$U$5:$U$120,$A18&amp;"|Morsham / Eastern")</x:f>
        <x:v>3</x:v>
      </x:c>
      <x:c r="F18" s="338" t="n">
        <x:f>COUNTIF('Parcel Chronology'!$U$5:$U$120,$A18&amp;"|Park")</x:f>
        <x:v>0</x:v>
      </x:c>
      <x:c r="G18" s="338" t="n">
        <x:f>COUNTIF('Parcel Chronology'!$U$5:$U$120,$A18&amp;"|HHD / Trust")</x:f>
        <x:v>0</x:v>
      </x:c>
      <x:c r="H18" s="338" t="n">
        <x:f>COUNTIF('Parcel Chronology'!$U$5:$U$120,$A18&amp;"|Other")</x:f>
        <x:v>0</x:v>
      </x:c>
    </x:row>
    <x:row r="19" ht="22" customHeight="1">
      <x:c r="A19" s="338" t="n">
        <x:v>1998</x:v>
      </x:c>
      <x:c r="B19" s="338" t="n">
        <x:f>COUNTIF('Parcel Chronology'!$S$5:$S$120,$A19)</x:f>
        <x:v>3</x:v>
      </x:c>
      <x:c r="C19" s="338" t="n">
        <x:f>COUNTIF('Parcel Chronology'!$U$5:$U$120,$A19&amp;"|Cherry / C-Wren / KG")</x:f>
        <x:v>1</x:v>
      </x:c>
      <x:c r="D19" s="338" t="n">
        <x:f>COUNTIF('Parcel Chronology'!$U$5:$U$120,$A19&amp;"|Rocky / New Albany")</x:f>
        <x:v>1</x:v>
      </x:c>
      <x:c r="E19" s="338" t="n">
        <x:f>COUNTIF('Parcel Chronology'!$U$5:$U$120,$A19&amp;"|Morsham / Eastern")</x:f>
        <x:v>0</x:v>
      </x:c>
      <x:c r="F19" s="338" t="n">
        <x:f>COUNTIF('Parcel Chronology'!$U$5:$U$120,$A19&amp;"|Park")</x:f>
        <x:v>0</x:v>
      </x:c>
      <x:c r="G19" s="338" t="n">
        <x:f>COUNTIF('Parcel Chronology'!$U$5:$U$120,$A19&amp;"|HHD / Trust")</x:f>
        <x:v>1</x:v>
      </x:c>
      <x:c r="H19" s="338" t="n">
        <x:f>COUNTIF('Parcel Chronology'!$U$5:$U$120,$A19&amp;"|Other")</x:f>
        <x:v>0</x:v>
      </x:c>
    </x:row>
    <x:row r="20" ht="22" customHeight="1">
      <x:c r="A20" s="338" t="n">
        <x:v>1999</x:v>
      </x:c>
      <x:c r="B20" s="338" t="n">
        <x:f>COUNTIF('Parcel Chronology'!$S$5:$S$120,$A20)</x:f>
        <x:v>0</x:v>
      </x:c>
      <x:c r="C20" s="338" t="n">
        <x:f>COUNTIF('Parcel Chronology'!$U$5:$U$120,$A20&amp;"|Cherry / C-Wren / KG")</x:f>
        <x:v>0</x:v>
      </x:c>
      <x:c r="D20" s="338" t="n">
        <x:f>COUNTIF('Parcel Chronology'!$U$5:$U$120,$A20&amp;"|Rocky / New Albany")</x:f>
        <x:v>0</x:v>
      </x:c>
      <x:c r="E20" s="338" t="n">
        <x:f>COUNTIF('Parcel Chronology'!$U$5:$U$120,$A20&amp;"|Morsham / Eastern")</x:f>
        <x:v>0</x:v>
      </x:c>
      <x:c r="F20" s="338" t="n">
        <x:f>COUNTIF('Parcel Chronology'!$U$5:$U$120,$A20&amp;"|Park")</x:f>
        <x:v>0</x:v>
      </x:c>
      <x:c r="G20" s="338" t="n">
        <x:f>COUNTIF('Parcel Chronology'!$U$5:$U$120,$A20&amp;"|HHD / Trust")</x:f>
        <x:v>0</x:v>
      </x:c>
      <x:c r="H20" s="338" t="n">
        <x:f>COUNTIF('Parcel Chronology'!$U$5:$U$120,$A20&amp;"|Other")</x:f>
        <x:v>0</x:v>
      </x:c>
    </x:row>
    <x:row r="21" ht="22" customHeight="1">
      <x:c r="A21" s="338" t="n">
        <x:v>2000</x:v>
      </x:c>
      <x:c r="B21" s="338" t="n">
        <x:f>COUNTIF('Parcel Chronology'!$S$5:$S$120,$A21)</x:f>
        <x:v>0</x:v>
      </x:c>
      <x:c r="C21" s="338" t="n">
        <x:f>COUNTIF('Parcel Chronology'!$U$5:$U$120,$A21&amp;"|Cherry / C-Wren / KG")</x:f>
        <x:v>0</x:v>
      </x:c>
      <x:c r="D21" s="338" t="n">
        <x:f>COUNTIF('Parcel Chronology'!$U$5:$U$120,$A21&amp;"|Rocky / New Albany")</x:f>
        <x:v>0</x:v>
      </x:c>
      <x:c r="E21" s="338" t="n">
        <x:f>COUNTIF('Parcel Chronology'!$U$5:$U$120,$A21&amp;"|Morsham / Eastern")</x:f>
        <x:v>0</x:v>
      </x:c>
      <x:c r="F21" s="338" t="n">
        <x:f>COUNTIF('Parcel Chronology'!$U$5:$U$120,$A21&amp;"|Park")</x:f>
        <x:v>0</x:v>
      </x:c>
      <x:c r="G21" s="338" t="n">
        <x:f>COUNTIF('Parcel Chronology'!$U$5:$U$120,$A21&amp;"|HHD / Trust")</x:f>
        <x:v>0</x:v>
      </x:c>
      <x:c r="H21" s="338" t="n">
        <x:f>COUNTIF('Parcel Chronology'!$U$5:$U$120,$A21&amp;"|Other")</x:f>
        <x:v>0</x:v>
      </x:c>
    </x:row>
    <x:row r="22" ht="22" customHeight="1">
      <x:c r="A22" s="338" t="n">
        <x:v>2001</x:v>
      </x:c>
      <x:c r="B22" s="338" t="n">
        <x:f>COUNTIF('Parcel Chronology'!$S$5:$S$120,$A22)</x:f>
        <x:v>1</x:v>
      </x:c>
      <x:c r="C22" s="338" t="n">
        <x:f>COUNTIF('Parcel Chronology'!$U$5:$U$120,$A22&amp;"|Cherry / C-Wren / KG")</x:f>
        <x:v>0</x:v>
      </x:c>
      <x:c r="D22" s="338" t="n">
        <x:f>COUNTIF('Parcel Chronology'!$U$5:$U$120,$A22&amp;"|Rocky / New Albany")</x:f>
        <x:v>0</x:v>
      </x:c>
      <x:c r="E22" s="338" t="n">
        <x:f>COUNTIF('Parcel Chronology'!$U$5:$U$120,$A22&amp;"|Morsham / Eastern")</x:f>
        <x:v>0</x:v>
      </x:c>
      <x:c r="F22" s="338" t="n">
        <x:f>COUNTIF('Parcel Chronology'!$U$5:$U$120,$A22&amp;"|Park")</x:f>
        <x:v>0</x:v>
      </x:c>
      <x:c r="G22" s="338" t="n">
        <x:f>COUNTIF('Parcel Chronology'!$U$5:$U$120,$A22&amp;"|HHD / Trust")</x:f>
        <x:v>1</x:v>
      </x:c>
      <x:c r="H22" s="338" t="n">
        <x:f>COUNTIF('Parcel Chronology'!$U$5:$U$120,$A22&amp;"|Other")</x:f>
        <x:v>0</x:v>
      </x:c>
    </x:row>
    <x:row r="23" ht="22" customHeight="1">
      <x:c r="A23" s="338" t="n">
        <x:v>2002</x:v>
      </x:c>
      <x:c r="B23" s="338" t="n">
        <x:f>COUNTIF('Parcel Chronology'!$S$5:$S$120,$A23)</x:f>
        <x:v>1</x:v>
      </x:c>
      <x:c r="C23" s="338" t="n">
        <x:f>COUNTIF('Parcel Chronology'!$U$5:$U$120,$A23&amp;"|Cherry / C-Wren / KG")</x:f>
        <x:v>0</x:v>
      </x:c>
      <x:c r="D23" s="338" t="n">
        <x:f>COUNTIF('Parcel Chronology'!$U$5:$U$120,$A23&amp;"|Rocky / New Albany")</x:f>
        <x:v>1</x:v>
      </x:c>
      <x:c r="E23" s="338" t="n">
        <x:f>COUNTIF('Parcel Chronology'!$U$5:$U$120,$A23&amp;"|Morsham / Eastern")</x:f>
        <x:v>0</x:v>
      </x:c>
      <x:c r="F23" s="338" t="n">
        <x:f>COUNTIF('Parcel Chronology'!$U$5:$U$120,$A23&amp;"|Park")</x:f>
        <x:v>0</x:v>
      </x:c>
      <x:c r="G23" s="338" t="n">
        <x:f>COUNTIF('Parcel Chronology'!$U$5:$U$120,$A23&amp;"|HHD / Trust")</x:f>
        <x:v>0</x:v>
      </x:c>
      <x:c r="H23" s="338" t="n">
        <x:f>COUNTIF('Parcel Chronology'!$U$5:$U$120,$A23&amp;"|Other")</x:f>
        <x:v>0</x:v>
      </x:c>
    </x:row>
    <x:row r="24" ht="22" customHeight="1">
      <x:c r="A24" s="338" t="n">
        <x:v>2003</x:v>
      </x:c>
      <x:c r="B24" s="338" t="n">
        <x:f>COUNTIF('Parcel Chronology'!$S$5:$S$120,$A24)</x:f>
        <x:v>0</x:v>
      </x:c>
      <x:c r="C24" s="338" t="n">
        <x:f>COUNTIF('Parcel Chronology'!$U$5:$U$120,$A24&amp;"|Cherry / C-Wren / KG")</x:f>
        <x:v>0</x:v>
      </x:c>
      <x:c r="D24" s="338" t="n">
        <x:f>COUNTIF('Parcel Chronology'!$U$5:$U$120,$A24&amp;"|Rocky / New Albany")</x:f>
        <x:v>0</x:v>
      </x:c>
      <x:c r="E24" s="338" t="n">
        <x:f>COUNTIF('Parcel Chronology'!$U$5:$U$120,$A24&amp;"|Morsham / Eastern")</x:f>
        <x:v>0</x:v>
      </x:c>
      <x:c r="F24" s="338" t="n">
        <x:f>COUNTIF('Parcel Chronology'!$U$5:$U$120,$A24&amp;"|Park")</x:f>
        <x:v>0</x:v>
      </x:c>
      <x:c r="G24" s="338" t="n">
        <x:f>COUNTIF('Parcel Chronology'!$U$5:$U$120,$A24&amp;"|HHD / Trust")</x:f>
        <x:v>0</x:v>
      </x:c>
      <x:c r="H24" s="338" t="n">
        <x:f>COUNTIF('Parcel Chronology'!$U$5:$U$120,$A24&amp;"|Other")</x:f>
        <x:v>0</x:v>
      </x:c>
    </x:row>
    <x:row r="25" ht="22" customHeight="1">
      <x:c r="A25" s="338" t="n">
        <x:v>2004</x:v>
      </x:c>
      <x:c r="B25" s="338" t="n">
        <x:f>COUNTIF('Parcel Chronology'!$S$5:$S$120,$A25)</x:f>
        <x:v>0</x:v>
      </x:c>
      <x:c r="C25" s="338" t="n">
        <x:f>COUNTIF('Parcel Chronology'!$U$5:$U$120,$A25&amp;"|Cherry / C-Wren / KG")</x:f>
        <x:v>0</x:v>
      </x:c>
      <x:c r="D25" s="338" t="n">
        <x:f>COUNTIF('Parcel Chronology'!$U$5:$U$120,$A25&amp;"|Rocky / New Albany")</x:f>
        <x:v>0</x:v>
      </x:c>
      <x:c r="E25" s="338" t="n">
        <x:f>COUNTIF('Parcel Chronology'!$U$5:$U$120,$A25&amp;"|Morsham / Eastern")</x:f>
        <x:v>0</x:v>
      </x:c>
      <x:c r="F25" s="338" t="n">
        <x:f>COUNTIF('Parcel Chronology'!$U$5:$U$120,$A25&amp;"|Park")</x:f>
        <x:v>0</x:v>
      </x:c>
      <x:c r="G25" s="338" t="n">
        <x:f>COUNTIF('Parcel Chronology'!$U$5:$U$120,$A25&amp;"|HHD / Trust")</x:f>
        <x:v>0</x:v>
      </x:c>
      <x:c r="H25" s="338" t="n">
        <x:f>COUNTIF('Parcel Chronology'!$U$5:$U$120,$A25&amp;"|Other")</x:f>
        <x:v>0</x:v>
      </x:c>
      <x:c r="J25" s="215" t="str">
        <x:v>Interpretation notes</x:v>
      </x:c>
      <x:c r="K25" s="215"/>
      <x:c r="L25" s="215"/>
      <x:c r="M25" s="215"/>
      <x:c r="N25" s="215"/>
      <x:c r="O25" s="215"/>
      <x:c r="P25" s="215"/>
      <x:c r="Q25" s="215"/>
      <x:c r="R25" s="215"/>
    </x:row>
    <x:row r="26" ht="22" customHeight="1">
      <x:c r="A26" s="338" t="n">
        <x:v>2005</x:v>
      </x:c>
      <x:c r="B26" s="338" t="n">
        <x:f>COUNTIF('Parcel Chronology'!$S$5:$S$120,$A26)</x:f>
        <x:v>0</x:v>
      </x:c>
      <x:c r="C26" s="338" t="n">
        <x:f>COUNTIF('Parcel Chronology'!$U$5:$U$120,$A26&amp;"|Cherry / C-Wren / KG")</x:f>
        <x:v>0</x:v>
      </x:c>
      <x:c r="D26" s="338" t="n">
        <x:f>COUNTIF('Parcel Chronology'!$U$5:$U$120,$A26&amp;"|Rocky / New Albany")</x:f>
        <x:v>0</x:v>
      </x:c>
      <x:c r="E26" s="338" t="n">
        <x:f>COUNTIF('Parcel Chronology'!$U$5:$U$120,$A26&amp;"|Morsham / Eastern")</x:f>
        <x:v>0</x:v>
      </x:c>
      <x:c r="F26" s="338" t="n">
        <x:f>COUNTIF('Parcel Chronology'!$U$5:$U$120,$A26&amp;"|Park")</x:f>
        <x:v>0</x:v>
      </x:c>
      <x:c r="G26" s="338" t="n">
        <x:f>COUNTIF('Parcel Chronology'!$U$5:$U$120,$A26&amp;"|HHD / Trust")</x:f>
        <x:v>0</x:v>
      </x:c>
      <x:c r="H26" s="338" t="n">
        <x:f>COUNTIF('Parcel Chronology'!$U$5:$U$120,$A26&amp;"|Other")</x:f>
        <x:v>0</x:v>
      </x:c>
      <x:c r="J26" s="353" t="str">
        <x:v>1987–1988 captures entity formation and early land/partnership activity; it does not identify common beneficial ownership.</x:v>
      </x:c>
      <x:c r="K26" s="354"/>
      <x:c r="L26" s="354"/>
      <x:c r="M26" s="354"/>
      <x:c r="N26" s="354"/>
      <x:c r="O26" s="354"/>
      <x:c r="P26" s="354"/>
      <x:c r="Q26" s="354"/>
      <x:c r="R26" s="355"/>
    </x:row>
    <x:row r="27" ht="22" customHeight="1">
      <x:c r="A27" s="338" t="n">
        <x:v>2006</x:v>
      </x:c>
      <x:c r="B27" s="338" t="n">
        <x:f>COUNTIF('Parcel Chronology'!$S$5:$S$120,$A27)</x:f>
        <x:v>0</x:v>
      </x:c>
      <x:c r="C27" s="338" t="n">
        <x:f>COUNTIF('Parcel Chronology'!$U$5:$U$120,$A27&amp;"|Cherry / C-Wren / KG")</x:f>
        <x:v>0</x:v>
      </x:c>
      <x:c r="D27" s="338" t="n">
        <x:f>COUNTIF('Parcel Chronology'!$U$5:$U$120,$A27&amp;"|Rocky / New Albany")</x:f>
        <x:v>0</x:v>
      </x:c>
      <x:c r="E27" s="338" t="n">
        <x:f>COUNTIF('Parcel Chronology'!$U$5:$U$120,$A27&amp;"|Morsham / Eastern")</x:f>
        <x:v>0</x:v>
      </x:c>
      <x:c r="F27" s="338" t="n">
        <x:f>COUNTIF('Parcel Chronology'!$U$5:$U$120,$A27&amp;"|Park")</x:f>
        <x:v>0</x:v>
      </x:c>
      <x:c r="G27" s="338" t="n">
        <x:f>COUNTIF('Parcel Chronology'!$U$5:$U$120,$A27&amp;"|HHD / Trust")</x:f>
        <x:v>0</x:v>
      </x:c>
      <x:c r="H27" s="338" t="n">
        <x:f>COUNTIF('Parcel Chronology'!$U$5:$U$120,$A27&amp;"|Other")</x:f>
        <x:v>0</x:v>
      </x:c>
      <x:c r="J27" s="356"/>
      <x:c r="K27" s="357"/>
      <x:c r="L27" s="357"/>
      <x:c r="M27" s="357"/>
      <x:c r="N27" s="357"/>
      <x:c r="O27" s="357"/>
      <x:c r="P27" s="357"/>
      <x:c r="Q27" s="357"/>
      <x:c r="R27" s="358"/>
    </x:row>
    <x:row r="28" ht="22" customHeight="1">
      <x:c r="A28" s="338" t="n">
        <x:v>2007</x:v>
      </x:c>
      <x:c r="B28" s="338" t="n">
        <x:f>COUNTIF('Parcel Chronology'!$S$5:$S$120,$A28)</x:f>
        <x:v>2</x:v>
      </x:c>
      <x:c r="C28" s="338" t="n">
        <x:f>COUNTIF('Parcel Chronology'!$U$5:$U$120,$A28&amp;"|Cherry / C-Wren / KG")</x:f>
        <x:v>0</x:v>
      </x:c>
      <x:c r="D28" s="338" t="n">
        <x:f>COUNTIF('Parcel Chronology'!$U$5:$U$120,$A28&amp;"|Rocky / New Albany")</x:f>
        <x:v>0</x:v>
      </x:c>
      <x:c r="E28" s="338" t="n">
        <x:f>COUNTIF('Parcel Chronology'!$U$5:$U$120,$A28&amp;"|Morsham / Eastern")</x:f>
        <x:v>0</x:v>
      </x:c>
      <x:c r="F28" s="338" t="n">
        <x:f>COUNTIF('Parcel Chronology'!$U$5:$U$120,$A28&amp;"|Park")</x:f>
        <x:v>0</x:v>
      </x:c>
      <x:c r="G28" s="338" t="n">
        <x:f>COUNTIF('Parcel Chronology'!$U$5:$U$120,$A28&amp;"|HHD / Trust")</x:f>
        <x:v>1</x:v>
      </x:c>
      <x:c r="H28" s="338" t="n">
        <x:f>COUNTIF('Parcel Chronology'!$U$5:$U$120,$A28&amp;"|Other")</x:f>
        <x:v>1</x:v>
      </x:c>
      <x:c r="J28" s="353" t="str">
        <x:v>1991–1993 is the densest property/financing transition window: Cherry/KG/C-Wren, Rocky/New Albany, mortgage releases, and partnership restructurings.</x:v>
      </x:c>
      <x:c r="K28" s="354"/>
      <x:c r="L28" s="354"/>
      <x:c r="M28" s="354"/>
      <x:c r="N28" s="354"/>
      <x:c r="O28" s="354"/>
      <x:c r="P28" s="354"/>
      <x:c r="Q28" s="354"/>
      <x:c r="R28" s="355"/>
    </x:row>
    <x:row r="29" ht="22" customHeight="1">
      <x:c r="A29" s="338" t="n">
        <x:v>2008</x:v>
      </x:c>
      <x:c r="B29" s="338" t="n">
        <x:f>COUNTIF('Parcel Chronology'!$S$5:$S$120,$A29)</x:f>
        <x:v>1</x:v>
      </x:c>
      <x:c r="C29" s="338" t="n">
        <x:f>COUNTIF('Parcel Chronology'!$U$5:$U$120,$A29&amp;"|Cherry / C-Wren / KG")</x:f>
        <x:v>0</x:v>
      </x:c>
      <x:c r="D29" s="338" t="n">
        <x:f>COUNTIF('Parcel Chronology'!$U$5:$U$120,$A29&amp;"|Rocky / New Albany")</x:f>
        <x:v>0</x:v>
      </x:c>
      <x:c r="E29" s="338" t="n">
        <x:f>COUNTIF('Parcel Chronology'!$U$5:$U$120,$A29&amp;"|Morsham / Eastern")</x:f>
        <x:v>1</x:v>
      </x:c>
      <x:c r="F29" s="338" t="n">
        <x:f>COUNTIF('Parcel Chronology'!$U$5:$U$120,$A29&amp;"|Park")</x:f>
        <x:v>0</x:v>
      </x:c>
      <x:c r="G29" s="338" t="n">
        <x:f>COUNTIF('Parcel Chronology'!$U$5:$U$120,$A29&amp;"|HHD / Trust")</x:f>
        <x:v>0</x:v>
      </x:c>
      <x:c r="H29" s="338" t="n">
        <x:f>COUNTIF('Parcel Chronology'!$U$5:$U$120,$A29&amp;"|Other")</x:f>
        <x:v>0</x:v>
      </x:c>
      <x:c r="J29" s="356"/>
      <x:c r="K29" s="357"/>
      <x:c r="L29" s="357"/>
      <x:c r="M29" s="357"/>
      <x:c r="N29" s="357"/>
      <x:c r="O29" s="357"/>
      <x:c r="P29" s="357"/>
      <x:c r="Q29" s="357"/>
      <x:c r="R29" s="358"/>
    </x:row>
    <x:row r="30" ht="22" customHeight="1">
      <x:c r="A30" s="338" t="n">
        <x:v>2009</x:v>
      </x:c>
      <x:c r="B30" s="338" t="n">
        <x:f>COUNTIF('Parcel Chronology'!$S$5:$S$120,$A30)</x:f>
        <x:v>0</x:v>
      </x:c>
      <x:c r="C30" s="338" t="n">
        <x:f>COUNTIF('Parcel Chronology'!$U$5:$U$120,$A30&amp;"|Cherry / C-Wren / KG")</x:f>
        <x:v>0</x:v>
      </x:c>
      <x:c r="D30" s="338" t="n">
        <x:f>COUNTIF('Parcel Chronology'!$U$5:$U$120,$A30&amp;"|Rocky / New Albany")</x:f>
        <x:v>0</x:v>
      </x:c>
      <x:c r="E30" s="338" t="n">
        <x:f>COUNTIF('Parcel Chronology'!$U$5:$U$120,$A30&amp;"|Morsham / Eastern")</x:f>
        <x:v>0</x:v>
      </x:c>
      <x:c r="F30" s="338" t="n">
        <x:f>COUNTIF('Parcel Chronology'!$U$5:$U$120,$A30&amp;"|Park")</x:f>
        <x:v>0</x:v>
      </x:c>
      <x:c r="G30" s="338" t="n">
        <x:f>COUNTIF('Parcel Chronology'!$U$5:$U$120,$A30&amp;"|HHD / Trust")</x:f>
        <x:v>0</x:v>
      </x:c>
      <x:c r="H30" s="338" t="n">
        <x:f>COUNTIF('Parcel Chronology'!$U$5:$U$120,$A30&amp;"|Other")</x:f>
        <x:v>0</x:v>
      </x:c>
      <x:c r="J30" s="353" t="str">
        <x:v>1995–1997 contains the Eastern Ohio merger/title chain and later Cherry/Morsham dispositions.</x:v>
      </x:c>
      <x:c r="K30" s="354"/>
      <x:c r="L30" s="354"/>
      <x:c r="M30" s="354"/>
      <x:c r="N30" s="354"/>
      <x:c r="O30" s="354"/>
      <x:c r="P30" s="354"/>
      <x:c r="Q30" s="354"/>
      <x:c r="R30" s="355"/>
    </x:row>
    <x:row r="31" ht="22" customHeight="1">
      <x:c r="A31" s="338" t="n">
        <x:v>2010</x:v>
      </x:c>
      <x:c r="B31" s="338" t="n">
        <x:f>COUNTIF('Parcel Chronology'!$S$5:$S$120,$A31)</x:f>
        <x:v>0</x:v>
      </x:c>
      <x:c r="C31" s="338" t="n">
        <x:f>COUNTIF('Parcel Chronology'!$U$5:$U$120,$A31&amp;"|Cherry / C-Wren / KG")</x:f>
        <x:v>0</x:v>
      </x:c>
      <x:c r="D31" s="338" t="n">
        <x:f>COUNTIF('Parcel Chronology'!$U$5:$U$120,$A31&amp;"|Rocky / New Albany")</x:f>
        <x:v>0</x:v>
      </x:c>
      <x:c r="E31" s="338" t="n">
        <x:f>COUNTIF('Parcel Chronology'!$U$5:$U$120,$A31&amp;"|Morsham / Eastern")</x:f>
        <x:v>0</x:v>
      </x:c>
      <x:c r="F31" s="338" t="n">
        <x:f>COUNTIF('Parcel Chronology'!$U$5:$U$120,$A31&amp;"|Park")</x:f>
        <x:v>0</x:v>
      </x:c>
      <x:c r="G31" s="338" t="n">
        <x:f>COUNTIF('Parcel Chronology'!$U$5:$U$120,$A31&amp;"|HHD / Trust")</x:f>
        <x:v>0</x:v>
      </x:c>
      <x:c r="H31" s="338" t="n">
        <x:f>COUNTIF('Parcel Chronology'!$U$5:$U$120,$A31&amp;"|Other")</x:f>
        <x:v>0</x:v>
      </x:c>
      <x:c r="J31" s="356"/>
      <x:c r="K31" s="357"/>
      <x:c r="L31" s="357"/>
      <x:c r="M31" s="357"/>
      <x:c r="N31" s="357"/>
      <x:c r="O31" s="357"/>
      <x:c r="P31" s="357"/>
      <x:c r="Q31" s="357"/>
      <x:c r="R31" s="358"/>
    </x:row>
    <x:row r="32" ht="22" customHeight="1">
      <x:c r="A32" s="338" t="n">
        <x:v>2011</x:v>
      </x:c>
      <x:c r="B32" s="338" t="n">
        <x:f>COUNTIF('Parcel Chronology'!$S$5:$S$120,$A32)</x:f>
        <x:v>0</x:v>
      </x:c>
      <x:c r="C32" s="338" t="n">
        <x:f>COUNTIF('Parcel Chronology'!$U$5:$U$120,$A32&amp;"|Cherry / C-Wren / KG")</x:f>
        <x:v>0</x:v>
      </x:c>
      <x:c r="D32" s="338" t="n">
        <x:f>COUNTIF('Parcel Chronology'!$U$5:$U$120,$A32&amp;"|Rocky / New Albany")</x:f>
        <x:v>0</x:v>
      </x:c>
      <x:c r="E32" s="338" t="n">
        <x:f>COUNTIF('Parcel Chronology'!$U$5:$U$120,$A32&amp;"|Morsham / Eastern")</x:f>
        <x:v>0</x:v>
      </x:c>
      <x:c r="F32" s="338" t="n">
        <x:f>COUNTIF('Parcel Chronology'!$U$5:$U$120,$A32&amp;"|Park")</x:f>
        <x:v>0</x:v>
      </x:c>
      <x:c r="G32" s="338" t="n">
        <x:f>COUNTIF('Parcel Chronology'!$U$5:$U$120,$A32&amp;"|HHD / Trust")</x:f>
        <x:v>0</x:v>
      </x:c>
      <x:c r="H32" s="338" t="n">
        <x:f>COUNTIF('Parcel Chronology'!$U$5:$U$120,$A32&amp;"|Other")</x:f>
        <x:v>0</x:v>
      </x:c>
      <x:c r="J32" s="353" t="str">
        <x:v>Post-2000 events often concern improvement notices, affidavits, or neighboring boundary references rather than acquisitions.</x:v>
      </x:c>
      <x:c r="K32" s="354"/>
      <x:c r="L32" s="354"/>
      <x:c r="M32" s="354"/>
      <x:c r="N32" s="354"/>
      <x:c r="O32" s="354"/>
      <x:c r="P32" s="354"/>
      <x:c r="Q32" s="354"/>
      <x:c r="R32" s="355"/>
    </x:row>
    <x:row r="33" ht="22" customHeight="1">
      <x:c r="A33" s="338" t="n">
        <x:v>2012</x:v>
      </x:c>
      <x:c r="B33" s="338" t="n">
        <x:f>COUNTIF('Parcel Chronology'!$S$5:$S$120,$A33)</x:f>
        <x:v>2</x:v>
      </x:c>
      <x:c r="C33" s="338" t="n">
        <x:f>COUNTIF('Parcel Chronology'!$U$5:$U$120,$A33&amp;"|Cherry / C-Wren / KG")</x:f>
        <x:v>0</x:v>
      </x:c>
      <x:c r="D33" s="338" t="n">
        <x:f>COUNTIF('Parcel Chronology'!$U$5:$U$120,$A33&amp;"|Rocky / New Albany")</x:f>
        <x:v>0</x:v>
      </x:c>
      <x:c r="E33" s="338" t="n">
        <x:f>COUNTIF('Parcel Chronology'!$U$5:$U$120,$A33&amp;"|Morsham / Eastern")</x:f>
        <x:v>2</x:v>
      </x:c>
      <x:c r="F33" s="338" t="n">
        <x:f>COUNTIF('Parcel Chronology'!$U$5:$U$120,$A33&amp;"|Park")</x:f>
        <x:v>0</x:v>
      </x:c>
      <x:c r="G33" s="338" t="n">
        <x:f>COUNTIF('Parcel Chronology'!$U$5:$U$120,$A33&amp;"|HHD / Trust")</x:f>
        <x:v>0</x:v>
      </x:c>
      <x:c r="H33" s="338" t="n">
        <x:f>COUNTIF('Parcel Chronology'!$U$5:$U$120,$A33&amp;"|Other")</x:f>
        <x:v>0</x:v>
      </x:c>
      <x:c r="J33" s="356"/>
      <x:c r="K33" s="357"/>
      <x:c r="L33" s="357"/>
      <x:c r="M33" s="357"/>
      <x:c r="N33" s="357"/>
      <x:c r="O33" s="357"/>
      <x:c r="P33" s="357"/>
      <x:c r="Q33" s="357"/>
      <x:c r="R33" s="358"/>
    </x:row>
    <x:row r="34" ht="22" customHeight="1">
      <x:c r="A34" s="338" t="n">
        <x:v>2013</x:v>
      </x:c>
      <x:c r="B34" s="338" t="n">
        <x:f>COUNTIF('Parcel Chronology'!$S$5:$S$120,$A34)</x:f>
        <x:v>0</x:v>
      </x:c>
      <x:c r="C34" s="338" t="n">
        <x:f>COUNTIF('Parcel Chronology'!$U$5:$U$120,$A34&amp;"|Cherry / C-Wren / KG")</x:f>
        <x:v>0</x:v>
      </x:c>
      <x:c r="D34" s="338" t="n">
        <x:f>COUNTIF('Parcel Chronology'!$U$5:$U$120,$A34&amp;"|Rocky / New Albany")</x:f>
        <x:v>0</x:v>
      </x:c>
      <x:c r="E34" s="338" t="n">
        <x:f>COUNTIF('Parcel Chronology'!$U$5:$U$120,$A34&amp;"|Morsham / Eastern")</x:f>
        <x:v>0</x:v>
      </x:c>
      <x:c r="F34" s="338" t="n">
        <x:f>COUNTIF('Parcel Chronology'!$U$5:$U$120,$A34&amp;"|Park")</x:f>
        <x:v>0</x:v>
      </x:c>
      <x:c r="G34" s="338" t="n">
        <x:f>COUNTIF('Parcel Chronology'!$U$5:$U$120,$A34&amp;"|HHD / Trust")</x:f>
        <x:v>0</x:v>
      </x:c>
      <x:c r="H34" s="338" t="n">
        <x:f>COUNTIF('Parcel Chronology'!$U$5:$U$120,$A34&amp;"|Other")</x:f>
        <x:v>0</x:v>
      </x:c>
    </x:row>
    <x:row r="35" ht="22" customHeight="1">
      <x:c r="A35" s="338" t="n">
        <x:v>2014</x:v>
      </x:c>
      <x:c r="B35" s="338" t="n">
        <x:f>COUNTIF('Parcel Chronology'!$S$5:$S$120,$A35)</x:f>
        <x:v>0</x:v>
      </x:c>
      <x:c r="C35" s="338" t="n">
        <x:f>COUNTIF('Parcel Chronology'!$U$5:$U$120,$A35&amp;"|Cherry / C-Wren / KG")</x:f>
        <x:v>0</x:v>
      </x:c>
      <x:c r="D35" s="338" t="n">
        <x:f>COUNTIF('Parcel Chronology'!$U$5:$U$120,$A35&amp;"|Rocky / New Albany")</x:f>
        <x:v>0</x:v>
      </x:c>
      <x:c r="E35" s="338" t="n">
        <x:f>COUNTIF('Parcel Chronology'!$U$5:$U$120,$A35&amp;"|Morsham / Eastern")</x:f>
        <x:v>0</x:v>
      </x:c>
      <x:c r="F35" s="338" t="n">
        <x:f>COUNTIF('Parcel Chronology'!$U$5:$U$120,$A35&amp;"|Park")</x:f>
        <x:v>0</x:v>
      </x:c>
      <x:c r="G35" s="338" t="n">
        <x:f>COUNTIF('Parcel Chronology'!$U$5:$U$120,$A35&amp;"|HHD / Trust")</x:f>
        <x:v>0</x:v>
      </x:c>
      <x:c r="H35" s="338" t="n">
        <x:f>COUNTIF('Parcel Chronology'!$U$5:$U$120,$A35&amp;"|Other")</x:f>
        <x:v>0</x:v>
      </x:c>
    </x:row>
    <x:row r="36" ht="22" customHeight="1">
      <x:c r="A36" s="338" t="n">
        <x:v>2015</x:v>
      </x:c>
      <x:c r="B36" s="338" t="n">
        <x:f>COUNTIF('Parcel Chronology'!$S$5:$S$120,$A36)</x:f>
        <x:v>0</x:v>
      </x:c>
      <x:c r="C36" s="338" t="n">
        <x:f>COUNTIF('Parcel Chronology'!$U$5:$U$120,$A36&amp;"|Cherry / C-Wren / KG")</x:f>
        <x:v>0</x:v>
      </x:c>
      <x:c r="D36" s="338" t="n">
        <x:f>COUNTIF('Parcel Chronology'!$U$5:$U$120,$A36&amp;"|Rocky / New Albany")</x:f>
        <x:v>0</x:v>
      </x:c>
      <x:c r="E36" s="338" t="n">
        <x:f>COUNTIF('Parcel Chronology'!$U$5:$U$120,$A36&amp;"|Morsham / Eastern")</x:f>
        <x:v>0</x:v>
      </x:c>
      <x:c r="F36" s="338" t="n">
        <x:f>COUNTIF('Parcel Chronology'!$U$5:$U$120,$A36&amp;"|Park")</x:f>
        <x:v>0</x:v>
      </x:c>
      <x:c r="G36" s="338" t="n">
        <x:f>COUNTIF('Parcel Chronology'!$U$5:$U$120,$A36&amp;"|HHD / Trust")</x:f>
        <x:v>0</x:v>
      </x:c>
      <x:c r="H36" s="338" t="n">
        <x:f>COUNTIF('Parcel Chronology'!$U$5:$U$120,$A36&amp;"|Other")</x:f>
        <x:v>0</x:v>
      </x:c>
    </x:row>
    <x:row r="37" ht="22" customHeight="1">
      <x:c r="A37" s="338" t="n">
        <x:v>2016</x:v>
      </x:c>
      <x:c r="B37" s="338" t="n">
        <x:f>COUNTIF('Parcel Chronology'!$S$5:$S$120,$A37)</x:f>
        <x:v>2</x:v>
      </x:c>
      <x:c r="C37" s="338" t="n">
        <x:f>COUNTIF('Parcel Chronology'!$U$5:$U$120,$A37&amp;"|Cherry / C-Wren / KG")</x:f>
        <x:v>0</x:v>
      </x:c>
      <x:c r="D37" s="338" t="n">
        <x:f>COUNTIF('Parcel Chronology'!$U$5:$U$120,$A37&amp;"|Rocky / New Albany")</x:f>
        <x:v>0</x:v>
      </x:c>
      <x:c r="E37" s="338" t="n">
        <x:f>COUNTIF('Parcel Chronology'!$U$5:$U$120,$A37&amp;"|Morsham / Eastern")</x:f>
        <x:v>2</x:v>
      </x:c>
      <x:c r="F37" s="338" t="n">
        <x:f>COUNTIF('Parcel Chronology'!$U$5:$U$120,$A37&amp;"|Park")</x:f>
        <x:v>0</x:v>
      </x:c>
      <x:c r="G37" s="338" t="n">
        <x:f>COUNTIF('Parcel Chronology'!$U$5:$U$120,$A37&amp;"|HHD / Trust")</x:f>
        <x:v>0</x:v>
      </x:c>
      <x:c r="H37" s="338" t="n">
        <x:f>COUNTIF('Parcel Chronology'!$U$5:$U$120,$A37&amp;"|Other")</x:f>
        <x:v>0</x:v>
      </x:c>
    </x:row>
    <x:row r="38" ht="22" customHeight="1">
      <x:c r="A38" s="338" t="n">
        <x:v>2017</x:v>
      </x:c>
      <x:c r="B38" s="338" t="n">
        <x:f>COUNTIF('Parcel Chronology'!$S$5:$S$120,$A38)</x:f>
        <x:v>0</x:v>
      </x:c>
      <x:c r="C38" s="338" t="n">
        <x:f>COUNTIF('Parcel Chronology'!$U$5:$U$120,$A38&amp;"|Cherry / C-Wren / KG")</x:f>
        <x:v>0</x:v>
      </x:c>
      <x:c r="D38" s="338" t="n">
        <x:f>COUNTIF('Parcel Chronology'!$U$5:$U$120,$A38&amp;"|Rocky / New Albany")</x:f>
        <x:v>0</x:v>
      </x:c>
      <x:c r="E38" s="338" t="n">
        <x:f>COUNTIF('Parcel Chronology'!$U$5:$U$120,$A38&amp;"|Morsham / Eastern")</x:f>
        <x:v>0</x:v>
      </x:c>
      <x:c r="F38" s="338" t="n">
        <x:f>COUNTIF('Parcel Chronology'!$U$5:$U$120,$A38&amp;"|Park")</x:f>
        <x:v>0</x:v>
      </x:c>
      <x:c r="G38" s="338" t="n">
        <x:f>COUNTIF('Parcel Chronology'!$U$5:$U$120,$A38&amp;"|HHD / Trust")</x:f>
        <x:v>0</x:v>
      </x:c>
      <x:c r="H38" s="338" t="n">
        <x:f>COUNTIF('Parcel Chronology'!$U$5:$U$120,$A38&amp;"|Other")</x:f>
        <x:v>0</x:v>
      </x:c>
    </x:row>
    <x:row r="39" ht="22" customHeight="1">
      <x:c r="A39" s="338" t="n">
        <x:v>2018</x:v>
      </x:c>
      <x:c r="B39" s="338" t="n">
        <x:f>COUNTIF('Parcel Chronology'!$S$5:$S$120,$A39)</x:f>
        <x:v>0</x:v>
      </x:c>
      <x:c r="C39" s="338" t="n">
        <x:f>COUNTIF('Parcel Chronology'!$U$5:$U$120,$A39&amp;"|Cherry / C-Wren / KG")</x:f>
        <x:v>0</x:v>
      </x:c>
      <x:c r="D39" s="338" t="n">
        <x:f>COUNTIF('Parcel Chronology'!$U$5:$U$120,$A39&amp;"|Rocky / New Albany")</x:f>
        <x:v>0</x:v>
      </x:c>
      <x:c r="E39" s="338" t="n">
        <x:f>COUNTIF('Parcel Chronology'!$U$5:$U$120,$A39&amp;"|Morsham / Eastern")</x:f>
        <x:v>0</x:v>
      </x:c>
      <x:c r="F39" s="338" t="n">
        <x:f>COUNTIF('Parcel Chronology'!$U$5:$U$120,$A39&amp;"|Park")</x:f>
        <x:v>0</x:v>
      </x:c>
      <x:c r="G39" s="338" t="n">
        <x:f>COUNTIF('Parcel Chronology'!$U$5:$U$120,$A39&amp;"|HHD / Trust")</x:f>
        <x:v>0</x:v>
      </x:c>
      <x:c r="H39" s="338" t="n">
        <x:f>COUNTIF('Parcel Chronology'!$U$5:$U$120,$A39&amp;"|Other")</x:f>
        <x:v>0</x:v>
      </x:c>
    </x:row>
    <x:row r="40" ht="22" customHeight="1">
      <x:c r="A40" s="338" t="n">
        <x:v>2019</x:v>
      </x:c>
      <x:c r="B40" s="338" t="n">
        <x:f>COUNTIF('Parcel Chronology'!$S$5:$S$120,$A40)</x:f>
        <x:v>0</x:v>
      </x:c>
      <x:c r="C40" s="338" t="n">
        <x:f>COUNTIF('Parcel Chronology'!$U$5:$U$120,$A40&amp;"|Cherry / C-Wren / KG")</x:f>
        <x:v>0</x:v>
      </x:c>
      <x:c r="D40" s="338" t="n">
        <x:f>COUNTIF('Parcel Chronology'!$U$5:$U$120,$A40&amp;"|Rocky / New Albany")</x:f>
        <x:v>0</x:v>
      </x:c>
      <x:c r="E40" s="338" t="n">
        <x:f>COUNTIF('Parcel Chronology'!$U$5:$U$120,$A40&amp;"|Morsham / Eastern")</x:f>
        <x:v>0</x:v>
      </x:c>
      <x:c r="F40" s="338" t="n">
        <x:f>COUNTIF('Parcel Chronology'!$U$5:$U$120,$A40&amp;"|Park")</x:f>
        <x:v>0</x:v>
      </x:c>
      <x:c r="G40" s="338" t="n">
        <x:f>COUNTIF('Parcel Chronology'!$U$5:$U$120,$A40&amp;"|HHD / Trust")</x:f>
        <x:v>0</x:v>
      </x:c>
      <x:c r="H40" s="338" t="n">
        <x:f>COUNTIF('Parcel Chronology'!$U$5:$U$120,$A40&amp;"|Other")</x:f>
        <x:v>0</x:v>
      </x:c>
    </x:row>
    <x:row r="41" ht="22" customHeight="1">
      <x:c r="A41" s="338" t="n">
        <x:v>2020</x:v>
      </x:c>
      <x:c r="B41" s="338" t="n">
        <x:f>COUNTIF('Parcel Chronology'!$S$5:$S$120,$A41)</x:f>
        <x:v>0</x:v>
      </x:c>
      <x:c r="C41" s="338" t="n">
        <x:f>COUNTIF('Parcel Chronology'!$U$5:$U$120,$A41&amp;"|Cherry / C-Wren / KG")</x:f>
        <x:v>0</x:v>
      </x:c>
      <x:c r="D41" s="338" t="n">
        <x:f>COUNTIF('Parcel Chronology'!$U$5:$U$120,$A41&amp;"|Rocky / New Albany")</x:f>
        <x:v>0</x:v>
      </x:c>
      <x:c r="E41" s="338" t="n">
        <x:f>COUNTIF('Parcel Chronology'!$U$5:$U$120,$A41&amp;"|Morsham / Eastern")</x:f>
        <x:v>0</x:v>
      </x:c>
      <x:c r="F41" s="338" t="n">
        <x:f>COUNTIF('Parcel Chronology'!$U$5:$U$120,$A41&amp;"|Park")</x:f>
        <x:v>0</x:v>
      </x:c>
      <x:c r="G41" s="338" t="n">
        <x:f>COUNTIF('Parcel Chronology'!$U$5:$U$120,$A41&amp;"|HHD / Trust")</x:f>
        <x:v>0</x:v>
      </x:c>
      <x:c r="H41" s="338" t="n">
        <x:f>COUNTIF('Parcel Chronology'!$U$5:$U$120,$A41&amp;"|Other")</x:f>
        <x:v>0</x:v>
      </x:c>
    </x:row>
    <x:row r="42" ht="22" customHeight="1">
      <x:c r="A42" s="338" t="n">
        <x:v>2021</x:v>
      </x:c>
      <x:c r="B42" s="338" t="n">
        <x:f>COUNTIF('Parcel Chronology'!$S$5:$S$120,$A42)</x:f>
        <x:v>0</x:v>
      </x:c>
      <x:c r="C42" s="338" t="n">
        <x:f>COUNTIF('Parcel Chronology'!$U$5:$U$120,$A42&amp;"|Cherry / C-Wren / KG")</x:f>
        <x:v>0</x:v>
      </x:c>
      <x:c r="D42" s="338" t="n">
        <x:f>COUNTIF('Parcel Chronology'!$U$5:$U$120,$A42&amp;"|Rocky / New Albany")</x:f>
        <x:v>0</x:v>
      </x:c>
      <x:c r="E42" s="338" t="n">
        <x:f>COUNTIF('Parcel Chronology'!$U$5:$U$120,$A42&amp;"|Morsham / Eastern")</x:f>
        <x:v>0</x:v>
      </x:c>
      <x:c r="F42" s="338" t="n">
        <x:f>COUNTIF('Parcel Chronology'!$U$5:$U$120,$A42&amp;"|Park")</x:f>
        <x:v>0</x:v>
      </x:c>
      <x:c r="G42" s="338" t="n">
        <x:f>COUNTIF('Parcel Chronology'!$U$5:$U$120,$A42&amp;"|HHD / Trust")</x:f>
        <x:v>0</x:v>
      </x:c>
      <x:c r="H42" s="338" t="n">
        <x:f>COUNTIF('Parcel Chronology'!$U$5:$U$120,$A42&amp;"|Other")</x:f>
        <x:v>0</x:v>
      </x:c>
    </x:row>
    <x:row r="43" ht="22" customHeight="1">
      <x:c r="A43" s="338" t="n">
        <x:v>2022</x:v>
      </x:c>
      <x:c r="B43" s="338" t="n">
        <x:f>COUNTIF('Parcel Chronology'!$S$5:$S$120,$A43)</x:f>
        <x:v>0</x:v>
      </x:c>
      <x:c r="C43" s="338" t="n">
        <x:f>COUNTIF('Parcel Chronology'!$U$5:$U$120,$A43&amp;"|Cherry / C-Wren / KG")</x:f>
        <x:v>0</x:v>
      </x:c>
      <x:c r="D43" s="338" t="n">
        <x:f>COUNTIF('Parcel Chronology'!$U$5:$U$120,$A43&amp;"|Rocky / New Albany")</x:f>
        <x:v>0</x:v>
      </x:c>
      <x:c r="E43" s="338" t="n">
        <x:f>COUNTIF('Parcel Chronology'!$U$5:$U$120,$A43&amp;"|Morsham / Eastern")</x:f>
        <x:v>0</x:v>
      </x:c>
      <x:c r="F43" s="338" t="n">
        <x:f>COUNTIF('Parcel Chronology'!$U$5:$U$120,$A43&amp;"|Park")</x:f>
        <x:v>0</x:v>
      </x:c>
      <x:c r="G43" s="338" t="n">
        <x:f>COUNTIF('Parcel Chronology'!$U$5:$U$120,$A43&amp;"|HHD / Trust")</x:f>
        <x:v>0</x:v>
      </x:c>
      <x:c r="H43" s="338" t="n">
        <x:f>COUNTIF('Parcel Chronology'!$U$5:$U$120,$A43&amp;"|Other")</x:f>
        <x:v>0</x:v>
      </x:c>
    </x:row>
    <x:row r="44" ht="22" customHeight="1">
      <x:c r="A44" s="339" t="n">
        <x:v>2023</x:v>
      </x:c>
      <x:c r="B44" s="339" t="n">
        <x:f>COUNTIF('Parcel Chronology'!$S$5:$S$120,$A44)</x:f>
        <x:v>0</x:v>
      </x:c>
      <x:c r="C44" s="339" t="n">
        <x:f>COUNTIF('Parcel Chronology'!$U$5:$U$120,$A44&amp;"|Cherry / C-Wren / KG")</x:f>
        <x:v>0</x:v>
      </x:c>
      <x:c r="D44" s="339" t="n">
        <x:f>COUNTIF('Parcel Chronology'!$U$5:$U$120,$A44&amp;"|Rocky / New Albany")</x:f>
        <x:v>0</x:v>
      </x:c>
      <x:c r="E44" s="339" t="n">
        <x:f>COUNTIF('Parcel Chronology'!$U$5:$U$120,$A44&amp;"|Morsham / Eastern")</x:f>
        <x:v>0</x:v>
      </x:c>
      <x:c r="F44" s="339" t="n">
        <x:f>COUNTIF('Parcel Chronology'!$U$5:$U$120,$A44&amp;"|Park")</x:f>
        <x:v>0</x:v>
      </x:c>
      <x:c r="G44" s="339" t="n">
        <x:f>COUNTIF('Parcel Chronology'!$U$5:$U$120,$A44&amp;"|HHD / Trust")</x:f>
        <x:v>0</x:v>
      </x:c>
      <x:c r="H44" s="339" t="n">
        <x:f>COUNTIF('Parcel Chronology'!$U$5:$U$120,$A44&amp;"|Other")</x:f>
        <x:v>0</x:v>
      </x:c>
    </x:row>
  </x:sheetData>
  <x:mergeCells>
    <x:mergeCell ref="A1:R1"/>
    <x:mergeCell ref="A2:R2"/>
    <x:mergeCell ref="J25:R25"/>
    <x:mergeCell ref="J26:R27"/>
    <x:mergeCell ref="J28:R29"/>
    <x:mergeCell ref="J30:R31"/>
    <x:mergeCell ref="J32:R33"/>
  </x:mergeCells>
  <x:conditionalFormatting sqref="B5:B44">
    <x:cfRule type="dataBar" priority="1">
      <x:dataBar>
        <x:cfvo type="min"/>
        <x:cfvo type="max"/>
        <x:color rgb="FF244A73"/>
      </x:dataBar>
      <x:extLst>
        <x:ext xmlns:x14="http://schemas.microsoft.com/office/spreadsheetml/2009/9/main" uri="{B025F937-C7B1-47D3-B67F-A62EFF666E3E}">
          <x14:id>{8CFF3574-DED4-98B1-4591-AFC64E5A56C2}</x14:id>
        </x:ext>
      </x:extLst>
    </x:cfRule>
  </x:conditionalFormatting>
  <x:pageMargins left="0.7" right="0.7" top="0.75" bottom="0.75" header="0.3" footer="0.3"/>
  <x:drawing xmlns:r="http://schemas.openxmlformats.org/officeDocument/2006/relationships" r:id="R860f239f6fc841df"/>
  <x:tableParts count="1">
    <x:tablePart xmlns:r="http://schemas.openxmlformats.org/officeDocument/2006/relationships" r:id="Rf6763f4bbac6434f"/>
  </x:tableParts>
  <x:extLst>
    <x:ext xmlns:x14="http://schemas.microsoft.com/office/spreadsheetml/2009/9/main" xmlns:xm="http://schemas.microsoft.com/office/excel/2006/main" uri="{78C0D931-6437-407d-A8EE-F0AAD7539E65}">
      <x14:conditionalFormattings>
        <x14:conditionalFormatting>
          <x14:cfRule type="dataBar" priority="1" id="{8CFF3574-DED4-98B1-4591-AFC64E5A56C2}">
            <x14:dataBar gradient="1">
              <x14:cfvo type="min"/>
              <x14:cfvo type="max"/>
              <x14:fillColor rgb="FF244A73"/>
            </x14:dataBar>
          </x14:cfRule>
          <xm:sqref>B5:B44</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14" hidden="0" customWidth="1"/>
    <x:col min="5" max="5" width="14" hidden="0" customWidth="1"/>
    <x:col min="6" max="6" width="20" hidden="0" customWidth="1"/>
    <x:col min="7" max="7" width="20" hidden="0" customWidth="1"/>
    <x:col min="8" max="8" width="20" hidden="0" customWidth="1"/>
    <x:col min="9" max="9" width="28" hidden="0" customWidth="1"/>
    <x:col min="10" max="10" width="44" hidden="0" customWidth="1"/>
    <x:col min="11" max="11" width="20" hidden="0" customWidth="1"/>
    <x:col min="12" max="12" width="20" hidden="0" customWidth="1"/>
    <x:col min="13" max="13" width="20" hidden="0" customWidth="1"/>
    <x:col min="14" max="14" width="28" hidden="0" customWidth="1"/>
    <x:col min="15" max="15" width="44" hidden="0" customWidth="1"/>
    <x:col min="16" max="16" width="20" hidden="0" customWidth="1"/>
    <x:col min="17" max="17" width="20" hidden="0" customWidth="1"/>
    <x:col min="18" max="18" width="44" hidden="0" customWidth="1"/>
    <x:col min="19" max="19" width="38" hidden="0" customWidth="1"/>
    <x:col min="20" max="20" width="13" hidden="0" customWidth="1"/>
    <x:col min="21" max="21" width="28" hidden="0" customWidth="1"/>
    <x:col min="22" max="22" width="20" hidden="0" customWidth="1"/>
    <x:col min="23" max="23" width="28" hidden="0" customWidth="1"/>
    <x:col min="24" max="24" width="20" hidden="0" customWidth="1"/>
    <x:col min="25" max="25" width="20" hidden="0" customWidth="1"/>
  </x:cols>
  <x:sheetData>
    <x:row r="1" ht="30" customHeight="1">
      <x:c r="A1" s="3" t="str">
        <x:v>Family-level Franklin instrument ledger</x:v>
      </x:c>
      <x:c r="B1" s="3"/>
      <x:c r="C1" s="3"/>
      <x:c r="D1" s="3"/>
      <x:c r="E1" s="3"/>
      <x:c r="F1" s="3"/>
      <x:c r="G1" s="3"/>
      <x:c r="H1" s="3"/>
      <x:c r="I1" s="3"/>
      <x:c r="J1" s="3"/>
      <x:c r="K1" s="3"/>
      <x:c r="L1" s="3"/>
      <x:c r="M1" s="3"/>
      <x:c r="N1" s="3"/>
      <x:c r="O1" s="3"/>
      <x:c r="P1" s="3"/>
      <x:c r="Q1" s="3"/>
      <x:c r="R1" s="3"/>
      <x:c r="S1" s="3"/>
      <x:c r="T1" s="3"/>
      <x:c r="U1" s="3"/>
      <x:c r="V1" s="3"/>
      <x:c r="W1" s="3"/>
      <x:c r="X1" s="3"/>
      <x:c r="Y1" s="3"/>
    </x:row>
    <x:row r="2" ht="36" customHeight="1">
      <x:c r="A2" s="12" t="str">
        <x:v>110 family-ledger rows with 24 captured fields plus family label. Some instruments legitimately appear in more than one family; use instrument number to identify overlaps.</x:v>
      </x:c>
      <x:c r="B2" s="13"/>
      <x:c r="C2" s="13"/>
      <x:c r="D2" s="13"/>
      <x:c r="E2" s="13"/>
      <x:c r="F2" s="13"/>
      <x:c r="G2" s="13"/>
      <x:c r="H2" s="13"/>
      <x:c r="I2" s="13"/>
      <x:c r="J2" s="13"/>
      <x:c r="K2" s="13"/>
      <x:c r="L2" s="13"/>
      <x:c r="M2" s="13"/>
      <x:c r="N2" s="13"/>
      <x:c r="O2" s="13"/>
      <x:c r="P2" s="13"/>
      <x:c r="Q2" s="13"/>
      <x:c r="R2" s="13"/>
      <x:c r="S2" s="13"/>
      <x:c r="T2" s="13"/>
      <x:c r="U2" s="13"/>
      <x:c r="V2" s="13"/>
      <x:c r="W2" s="13"/>
      <x:c r="X2" s="13"/>
      <x:c r="Y2" s="14"/>
    </x:row>
    <x:row r="4" ht="32" customHeight="1">
      <x:c r="A4" s="292" t="str">
        <x:v>family</x:v>
      </x:c>
      <x:c r="B4" s="293" t="str">
        <x:v>instrument_number</x:v>
      </x:c>
      <x:c r="C4" s="293" t="str">
        <x:v>native_doc_id</x:v>
      </x:c>
      <x:c r="D4" s="293" t="str">
        <x:v>recording_date</x:v>
      </x:c>
      <x:c r="E4" s="293" t="str">
        <x:v>execution_date</x:v>
      </x:c>
      <x:c r="F4" s="293" t="str">
        <x:v>document_type</x:v>
      </x:c>
      <x:c r="G4" s="293" t="str">
        <x:v>grantor_or_mortgagor</x:v>
      </x:c>
      <x:c r="H4" s="293" t="str">
        <x:v>grantee_or_mortgagee</x:v>
      </x:c>
      <x:c r="I4" s="293" t="str">
        <x:v>capacity_or_successor_wording</x:v>
      </x:c>
      <x:c r="J4" s="293" t="str">
        <x:v>consideration_or_debt</x:v>
      </x:c>
      <x:c r="K4" s="293" t="str">
        <x:v>signer_and_title</x:v>
      </x:c>
      <x:c r="L4" s="293" t="str">
        <x:v>notary</x:v>
      </x:c>
      <x:c r="M4" s="293" t="str">
        <x:v>preparer</x:v>
      </x:c>
      <x:c r="N4" s="293" t="str">
        <x:v>return_or_tax_address</x:v>
      </x:c>
      <x:c r="O4" s="293" t="str">
        <x:v>legal_and_acreage</x:v>
      </x:c>
      <x:c r="P4" s="293" t="str">
        <x:v>parcel_ids</x:v>
      </x:c>
      <x:c r="Q4" s="293" t="str">
        <x:v>prior_or_next_references</x:v>
      </x:c>
      <x:c r="R4" s="293" t="str">
        <x:v>decisive_conclusion</x:v>
      </x:c>
      <x:c r="S4" s="293" t="str">
        <x:v>source_url</x:v>
      </x:c>
      <x:c r="T4" s="293" t="str">
        <x:v>page_count</x:v>
      </x:c>
      <x:c r="U4" s="293" t="str">
        <x:v>ocr_state</x:v>
      </x:c>
      <x:c r="V4" s="293" t="str">
        <x:v>visual_review_pages</x:v>
      </x:c>
      <x:c r="W4" s="293" t="str">
        <x:v>evidence_state</x:v>
      </x:c>
      <x:c r="X4" s="293" t="str">
        <x:v>local_image_dir</x:v>
      </x:c>
      <x:c r="Y4" s="294" t="str">
        <x:v>ocr_dir</x:v>
      </x:c>
    </x:row>
    <x:row r="5" ht="66" customHeight="1">
      <x:c r="A5" s="302" t="str">
        <x:v>Cherry Bottom</x:v>
      </x:c>
      <x:c r="B5" s="314" t="str">
        <x:v>198803040070938</x:v>
      </x:c>
      <x:c r="C5" s="314" t="str">
        <x:v>130347471</x:v>
      </x:c>
      <x:c r="D5" s="311" t="n">
        <x:v>32206.5</x:v>
      </x:c>
      <x:c r="E5" s="311" t="str">
        <x:v>1988-03-04 (acknowledgments)</x:v>
      </x:c>
      <x:c r="F5" s="302" t="str">
        <x:v>Certificate of Partnership</x:v>
      </x:c>
      <x:c r="G5" s="302" t="str">
        <x:v>Cherry Bottom Properties, Inc.; Cherry Bottom Investors, Inc.</x:v>
      </x:c>
      <x:c r="H5" s="302" t="str">
        <x:v>Cherry Bottom Development Company No. 4</x:v>
      </x:c>
      <x:c r="I5" s="302" t="str">
        <x:v>Each corporation is expressly identified as an Ohio corporation and general partner of Cherry Bottom Development Company No. 4.</x:v>
      </x:c>
      <x:c r="J5" s="302" t="str">
        <x:v>No conveyance consideration; organizational filing.</x:v>
      </x:c>
      <x:c r="K5" s="302" t="str">
        <x:v>Harold L. Levin — Treasurer, Cherry Bottom Properties, Inc.; President, Cherry Bottom Investors, Inc.</x:v>
      </x:c>
      <x:c r="L5" s="302" t="str">
        <x:v>Paul S. Coppel</x:v>
      </x:c>
      <x:c r="M5" s="302" t="str">
        <x:v>Not stated on instrument.</x:v>
      </x:c>
      <x:c r="N5" s="302" t="str">
        <x:v>Both partners: 41 South High Street, Suite 3710, Columbus, Ohio 43215.</x:v>
      </x:c>
      <x:c r="O5" s="302" t="str">
        <x:v>No land conveyed; certificate forms/records an Ohio general partnership.</x:v>
      </x:c>
      <x:c r="P5" s="302" t="str">
        <x:v>Not stated on instrument.</x:v>
      </x:c>
      <x:c r="Q5" s="314" t="str">
        <x:v>Certificate itself; later easement 199109170150517 uses the partnership and Investors name.</x:v>
      </x:c>
      <x:c r="R5" s="302" t="str">
        <x:v>Establishes the original capacity baseline: Investors and Properties were corporate general partners, not the partnership itself.</x:v>
      </x:c>
      <x:c r="S5" s="302" t="str">
        <x:v>https://franklin.oh.publicsearch.us/doc/130347471?department=RP</x:v>
      </x:c>
      <x:c r="T5" s="308" t="str">
        <x:v>2</x:v>
      </x:c>
      <x:c r="U5" s="302" t="str">
        <x:v>OCR completed for every page.</x:v>
      </x:c>
      <x:c r="V5" s="302" t="str">
        <x:v>1-2</x:v>
      </x:c>
      <x:c r="W5" s="302" t="str">
        <x:v>Primary recorder images; all pages OCRed; both pages visually inspected.</x:v>
      </x:c>
      <x:c r="X5" s="302" t="str">
        <x:v>/private/tmp/osint-7Vd0k25d/cherry-images/198803040070938</x:v>
      </x:c>
      <x:c r="Y5" s="302" t="str">
        <x:v>/private/tmp/osint-7Vd0k25d/cherry-images/198803040070938/ocr</x:v>
      </x:c>
    </x:row>
    <x:row r="6" ht="66" customHeight="1">
      <x:c r="A6" s="303" t="str">
        <x:v>Cherry Bottom</x:v>
      </x:c>
      <x:c r="B6" s="315" t="str">
        <x:v>199011060171069</x:v>
      </x:c>
      <x:c r="C6" s="315" t="str">
        <x:v>123515856</x:v>
      </x:c>
      <x:c r="D6" s="312" t="n">
        <x:v>33183.5</x:v>
      </x:c>
      <x:c r="E6" s="312" t="n">
        <x:v>33183.5</x:v>
      </x:c>
      <x:c r="F6" s="303" t="str">
        <x:v>General Warranty Deed</x:v>
      </x:c>
      <x:c r="G6" s="303" t="str">
        <x:v>Cherry Bottom Development Company No. 4, an Ohio general partnership</x:v>
      </x:c>
      <x:c r="H6" s="303" t="str">
        <x:v>Cherry Bottom Properties, Inc., an Ohio corporation</x:v>
      </x:c>
      <x:c r="I6" s="303" t="str">
        <x:v>Properties signs as a partner of the grantor; no Investors name and no successor-by-merger recital.</x:v>
      </x:c>
      <x:c r="J6" s="303" t="str">
        <x:v>Valuable consideration paid; amount not stated.</x:v>
      </x:c>
      <x:c r="K6" s="303" t="str">
        <x:v>John W. Kessler — Vice President, Cherry Bottom Properties, Inc., a partner of grantor.</x:v>
      </x:c>
      <x:c r="L6" s="303" t="str">
        <x:v>Paul S. Coppel</x:v>
      </x:c>
      <x:c r="M6" s="303" t="str">
        <x:v>Paul S. Coppel, Schwartz, Kelm, Warren &amp; Rubenstein, 41 South High Street, Suite 2300, Columbus, Ohio 43215; 614-224-3168.</x:v>
      </x:c>
      <x:c r="N6" s="303" t="str">
        <x:v>Tax mailing: 41 South High Street, Suite 3710, Columbus, Ohio 43215.</x:v>
      </x:c>
      <x:c r="O6" s="303" t="str">
        <x:v>10.554 acres gross; 1.133 acres in rights-of-way; 9.421 net usable acres.</x:v>
      </x:c>
      <x:c r="P6" s="303" t="str">
        <x:v>025-8474</x:v>
      </x:c>
      <x:c r="Q6" s="315" t="str">
        <x:v>Prior OR 15230 D18, OR 11254 A01, OR 11254 A07; legal also cites Deed Book 2949, page 579. Immediately followed by 199011060171070.</x:v>
      </x:c>
      <x:c r="R6" s="303" t="str">
        <x:v>Direct post-merger evidence that surviving Properties received title from Development Company No. 4.</x:v>
      </x:c>
      <x:c r="S6" s="303" t="str">
        <x:v>https://franklin.oh.publicsearch.us/doc/123515856?department=RP</x:v>
      </x:c>
      <x:c r="T6" s="309" t="str">
        <x:v>2</x:v>
      </x:c>
      <x:c r="U6" s="303" t="str">
        <x:v>OCR completed for every page.</x:v>
      </x:c>
      <x:c r="V6" s="303" t="str">
        <x:v>1-2</x:v>
      </x:c>
      <x:c r="W6" s="303" t="str">
        <x:v>Primary recorder images; all pages OCRed; both pages visually inspected.</x:v>
      </x:c>
      <x:c r="X6" s="303" t="str">
        <x:v>/private/tmp/osint-7Vd0k25d/cherry-images/199011060171069</x:v>
      </x:c>
      <x:c r="Y6" s="303" t="str">
        <x:v>/private/tmp/osint-7Vd0k25d/cherry-images/199011060171069/ocr</x:v>
      </x:c>
    </x:row>
    <x:row r="7" ht="66" customHeight="1">
      <x:c r="A7" s="303" t="str">
        <x:v>Cherry Bottom</x:v>
      </x:c>
      <x:c r="B7" s="315" t="str">
        <x:v>199011060171070</x:v>
      </x:c>
      <x:c r="C7" s="315" t="str">
        <x:v>123515859</x:v>
      </x:c>
      <x:c r="D7" s="312" t="n">
        <x:v>33183.5</x:v>
      </x:c>
      <x:c r="E7" s="312" t="n">
        <x:v>33183.5</x:v>
      </x:c>
      <x:c r="F7" s="303" t="str">
        <x:v>Limited Warranty Deed</x:v>
      </x:c>
      <x:c r="G7" s="303" t="str">
        <x:v>Cherry Bottom Properties, Inc., an Ohio corporation</x:v>
      </x:c>
      <x:c r="H7" s="303" t="str">
        <x:v>Block Investments, Inc., an Ohio corporation</x:v>
      </x:c>
      <x:c r="I7" s="303" t="str">
        <x:v>Properties is fee grantor; no successor-by-merger recital.</x:v>
      </x:c>
      <x:c r="J7" s="303" t="str">
        <x:v>Valuable consideration paid; amount not stated. Recorder conveyance-tax stamp is $1,003.30 and is not treated as the deed's stated consideration.</x:v>
      </x:c>
      <x:c r="K7" s="303" t="str">
        <x:v>John W. Kessler — Vice President, Cherry Bottom Properties, Inc.</x:v>
      </x:c>
      <x:c r="L7" s="303" t="str">
        <x:v>Paul S. Coppel</x:v>
      </x:c>
      <x:c r="M7" s="303" t="str">
        <x:v>Paul S. Coppel, Schwartz, Kelm, Warren &amp; Rubenstein, 41 South High Street, Suite 2300, Columbus, Ohio 43215.</x:v>
      </x:c>
      <x:c r="N7" s="303" t="str">
        <x:v>Grantee tax mailing: 4760 East Fifth Avenue, Columbus, Ohio 43219.</x:v>
      </x:c>
      <x:c r="O7" s="303" t="str">
        <x:v>Exhibit A conveys 10.554 acres gross / 9.421 net. The 16.714-acre figure in the recorder index belongs to restriction-context Exhibit B-1, not the conveyed tract.</x:v>
      </x:c>
      <x:c r="P7" s="303" t="str">
        <x:v>025-8474</x:v>
      </x:c>
      <x:c r="Q7" s="315" t="str">
        <x:v>Incoming deed 199011060171069 was recorded immediately before this deed; later marginal declaration 199511200215267.</x:v>
      </x:c>
      <x:c r="R7" s="303" t="str">
        <x:v>Same-day acquire/dispose chain shows Properties briefly held and conveyed the 10.554-acre tract after the merger.</x:v>
      </x:c>
      <x:c r="S7" s="303" t="str">
        <x:v>https://franklin.oh.publicsearch.us/doc/123515859?department=RP</x:v>
      </x:c>
      <x:c r="T7" s="309" t="str">
        <x:v>8</x:v>
      </x:c>
      <x:c r="U7" s="303" t="str">
        <x:v>OCR completed for every page.</x:v>
      </x:c>
      <x:c r="V7" s="303" t="str">
        <x:v>1, 5-6</x:v>
      </x:c>
      <x:c r="W7" s="303" t="str">
        <x:v>Primary recorder images; all pages OCRed; party/operative page and signature pages visually inspected.</x:v>
      </x:c>
      <x:c r="X7" s="303" t="str">
        <x:v>/private/tmp/osint-7Vd0k25d/cherry-images/199011060171070</x:v>
      </x:c>
      <x:c r="Y7" s="303" t="str">
        <x:v>/private/tmp/osint-7Vd0k25d/cherry-images/199011060171070/ocr</x:v>
      </x:c>
    </x:row>
    <x:row r="8" ht="66" customHeight="1">
      <x:c r="A8" s="303" t="str">
        <x:v>Cherry Bottom</x:v>
      </x:c>
      <x:c r="B8" s="315" t="str">
        <x:v>199103260071553</x:v>
      </x:c>
      <x:c r="C8" s="315" t="str">
        <x:v>123564751</x:v>
      </x:c>
      <x:c r="D8" s="312" t="n">
        <x:v>33323.5</x:v>
      </x:c>
      <x:c r="E8" s="312" t="n">
        <x:v>33316.5</x:v>
      </x:c>
      <x:c r="F8" s="303" t="str">
        <x:v>General Warranty Deed</x:v>
      </x:c>
      <x:c r="G8" s="303" t="str">
        <x:v>Cherry Bottom Development Company No. 4, an Ohio general partnership</x:v>
      </x:c>
      <x:c r="H8" s="303" t="str">
        <x:v>Cherry Bottom Properties, Inc., an Ohio corporation</x:v>
      </x:c>
      <x:c r="I8" s="303" t="str">
        <x:v>Properties signs as a partner of the grantor; no Investors name and no successor-by-merger recital.</x:v>
      </x:c>
      <x:c r="J8" s="303" t="str">
        <x:v>Valuable consideration paid; amount not stated.</x:v>
      </x:c>
      <x:c r="K8" s="303" t="str">
        <x:v>John W. Kessler — Vice President, Cherry Bottom Properties, Inc., a partner of grantor.</x:v>
      </x:c>
      <x:c r="L8" s="303" t="str">
        <x:v>Carol A. Robey</x:v>
      </x:c>
      <x:c r="M8" s="303" t="str">
        <x:v>Paul S. Coppel, Schwartz, Kelm, Warren &amp; Rubenstein, Huntington Center, 41 South High Street, Suite 2300, Columbus, Ohio 43215; 614-224-3168.</x:v>
      </x:c>
      <x:c r="N8" s="303" t="str">
        <x:v>Tax mailing: 41 South High Street, Suite 3710, Columbus, Ohio 43215.</x:v>
      </x:c>
      <x:c r="O8" s="303" t="str">
        <x:v>80% undivided interest in Exhibit A (6.302 acres); 66 2/3% undivided interest in Exhibit B (17.791 gross / 16.714 net acres); 100% interest in Exhibit C (33.664 gross / 32.517 net acres).</x:v>
      </x:c>
      <x:c r="P8" s="303" t="str">
        <x:v>Exhibit A: 600-168453; Exhibit B: 025-4278; Exhibit C: 025-4294 and 025-4278</x:v>
      </x:c>
      <x:c r="Q8" s="315" t="str">
        <x:v>A: OR 11254 A01 and A07. B: OR 11253 J11, 11254 A01, 11254 A07. C: same plus OR 13533 G09.</x:v>
      </x:c>
      <x:c r="R8" s="303" t="str">
        <x:v>Direct post-merger acquisition evidence placing multiple Cherry Bottom tracts/interests in Properties.</x:v>
      </x:c>
      <x:c r="S8" s="303" t="str">
        <x:v>https://franklin.oh.publicsearch.us/doc/123564751?department=RP</x:v>
      </x:c>
      <x:c r="T8" s="309" t="str">
        <x:v>4</x:v>
      </x:c>
      <x:c r="U8" s="303" t="str">
        <x:v>OCR completed for every page.</x:v>
      </x:c>
      <x:c r="V8" s="303" t="str">
        <x:v>1-4</x:v>
      </x:c>
      <x:c r="W8" s="303" t="str">
        <x:v>Primary recorder images; all pages OCRed; all pages visually inspected.</x:v>
      </x:c>
      <x:c r="X8" s="303" t="str">
        <x:v>/private/tmp/osint-7Vd0k25d/cherry-images/199103260071553</x:v>
      </x:c>
      <x:c r="Y8" s="303" t="str">
        <x:v>/private/tmp/osint-7Vd0k25d/cherry-images/199103260071553/ocr</x:v>
      </x:c>
    </x:row>
    <x:row r="9" ht="66" customHeight="1">
      <x:c r="A9" s="303" t="str">
        <x:v>Cherry Bottom</x:v>
      </x:c>
      <x:c r="B9" s="315" t="str">
        <x:v>199109170150517</x:v>
      </x:c>
      <x:c r="C9" s="315" t="str">
        <x:v>123643612</x:v>
      </x:c>
      <x:c r="D9" s="312" t="n">
        <x:v>33498.5</x:v>
      </x:c>
      <x:c r="E9" s="312" t="n">
        <x:v>33497.5</x:v>
      </x:c>
      <x:c r="F9" s="303" t="str">
        <x:v>Deed of Easement</x:v>
      </x:c>
      <x:c r="G9" s="303" t="str">
        <x:v>Cherry Bottom Development Company No. 4, acting by Cherry Bottom Investors, Inc.</x:v>
      </x:c>
      <x:c r="H9" s="303" t="str">
        <x:v>City of Gahanna, Ohio</x:v>
      </x:c>
      <x:c r="I9" s="303" t="str">
        <x:v>The opening/witness clauses anomalously call Cherry Bottom Investors, Inc. an Ohio general partnership, while the signature block has Development Company No. 4 acting by Investors. There is no successor-by-merger wording and no reference to Properties.</x:v>
      </x:c>
      <x:c r="J9" s="303" t="str">
        <x:v>$1 and other valuable consideration.</x:v>
      </x:c>
      <x:c r="K9" s="303" t="str">
        <x:v>William Westbrook — Vice President, Cherry Bottom Investors, Inc., signing for Cherry Bottom Development Company No. 4.</x:v>
      </x:c>
      <x:c r="L9" s="303" t="str">
        <x:v>Thomas D. Schiller (signature visually read; no typed name)</x:v>
      </x:c>
      <x:c r="M9" s="303" t="str">
        <x:v>Prepared by Grantor.</x:v>
      </x:c>
      <x:c r="N9" s="303" t="str">
        <x:v>Handwritten return: Richard Tennant, 170 Mill Street, Gahanna, Ohio 43230.</x:v>
      </x:c>
      <x:c r="O9" s="303" t="str">
        <x:v>Perpetual nonexclusive storm-sewer easement; 15-foot strip, 0.065 acre, across part of a 17.791-acre tract conveyed to Development Company No. 4.</x:v>
      </x:c>
      <x:c r="P9" s="303" t="str">
        <x:v>Not stated on instrument.</x:v>
      </x:c>
      <x:c r="Q9" s="315" t="str">
        <x:v>Prior OR 11254 A07; compare partnership certificate 198803040070938.</x:v>
      </x:c>
      <x:c r="R9" s="303" t="str">
        <x:v>Not title evidence for Investors: Development Company No. 4 is the land grantor and Investors appears only as the signer/general-partner name. The post-merger wording is stale/internally inconsistent, not proof that Investors revived or survived separately.</x:v>
      </x:c>
      <x:c r="S9" s="303" t="str">
        <x:v>https://franklin.oh.publicsearch.us/doc/123643612?department=RP</x:v>
      </x:c>
      <x:c r="T9" s="309" t="str">
        <x:v>4</x:v>
      </x:c>
      <x:c r="U9" s="303" t="str">
        <x:v>OCR completed for every page.</x:v>
      </x:c>
      <x:c r="V9" s="303" t="str">
        <x:v>1-3</x:v>
      </x:c>
      <x:c r="W9" s="303" t="str">
        <x:v>Primary recorder images; all pages OCRed; operative, legal, signature, and acknowledgment pages visually inspected; survey map OCRed but not needed for the capacity conclusion.</x:v>
      </x:c>
      <x:c r="X9" s="303" t="str">
        <x:v>/private/tmp/osint-7Vd0k25d/cherry-images/199109170150517</x:v>
      </x:c>
      <x:c r="Y9" s="303" t="str">
        <x:v>/private/tmp/osint-7Vd0k25d/cherry-images/199109170150517/ocr</x:v>
      </x:c>
    </x:row>
    <x:row r="10" ht="66" customHeight="1">
      <x:c r="A10" s="303" t="str">
        <x:v>Cherry Bottom</x:v>
      </x:c>
      <x:c r="B10" s="315" t="str">
        <x:v>199110040159339</x:v>
      </x:c>
      <x:c r="C10" s="315" t="str">
        <x:v>123652478</x:v>
      </x:c>
      <x:c r="D10" s="312" t="n">
        <x:v>33515.5</x:v>
      </x:c>
      <x:c r="E10" s="312" t="n">
        <x:v>33511.5</x:v>
      </x:c>
      <x:c r="F10" s="303" t="str">
        <x:v>Limited Warranty Deed</x:v>
      </x:c>
      <x:c r="G10" s="303" t="str">
        <x:v>Cherry Bottom Properties, Inc., an Ohio corporation</x:v>
      </x:c>
      <x:c r="H10" s="303" t="str">
        <x:v>KG Partners, an Ohio general partnership</x:v>
      </x:c>
      <x:c r="I10" s="303" t="str">
        <x:v>Properties is the fee grantor. The New Albany Company is named only as Properties' affiliate/designee for development-plan approval and signs through Rocky Fork Development Corp. to acknowledge plans/specifications; it is not the fee grantor.</x:v>
      </x:c>
      <x:c r="J10" s="303" t="str">
        <x:v>Valuable consideration paid; amount not stated. Recorder conveyance-tax stamp is $1,224.00 and is not treated as the deed's stated consideration.</x:v>
      </x:c>
      <x:c r="K10" s="303" t="str">
        <x:v>Jeffrey E. Epstein — Vice President, Cherry Bottom Properties, Inc.; also President, Rocky Fork Development Corp., general partner of The New Albany Company, for the separate plan-approval acknowledgment.</x:v>
      </x:c>
      <x:c r="L10" s="303" t="str">
        <x:v>Mark E. McGrady</x:v>
      </x:c>
      <x:c r="M10" s="303" t="str">
        <x:v>Mark E. McGrady, Schwartz, Kelm, Warren &amp; Rubenstein, 41 South High Street, Suite 2300, Columbus, Ohio 43215.</x:v>
      </x:c>
      <x:c r="N10" s="303" t="str">
        <x:v>Grantee tax mailing: 35 North Fourth Street, Columbus, Ohio 43215.</x:v>
      </x:c>
      <x:c r="O10" s="303" t="str">
        <x:v>Exhibit A conveys 33.664 acres gross / 32.517 net usable acres. Exhibit B concerns the Christopher Wren multi-family project and development restrictions.</x:v>
      </x:c>
      <x:c r="P10" s="303" t="str">
        <x:v>025-4294 and 025-4278</x:v>
      </x:c>
      <x:c r="Q10" s="315" t="str">
        <x:v>Prior OR 16658 J11, corresponding to the March 1991 acquisition chain.</x:v>
      </x:c>
      <x:c r="R10" s="303" t="str">
        <x:v>Epstein personally executed Properties' post-merger disposition of the 33.664-acre tract; New Albany's role was limited to plan approval.</x:v>
      </x:c>
      <x:c r="S10" s="303" t="str">
        <x:v>https://franklin.oh.publicsearch.us/doc/123652478?department=RP</x:v>
      </x:c>
      <x:c r="T10" s="309" t="str">
        <x:v>11</x:v>
      </x:c>
      <x:c r="U10" s="303" t="str">
        <x:v>OCR completed for every page.</x:v>
      </x:c>
      <x:c r="V10" s="303" t="str">
        <x:v>1, 5-7</x:v>
      </x:c>
      <x:c r="W10" s="303" t="str">
        <x:v>Primary recorder images; all pages OCRed; party/operative page, execution pages, and decisive legal page visually inspected.</x:v>
      </x:c>
      <x:c r="X10" s="303" t="str">
        <x:v>/private/tmp/osint-7Vd0k25d/cherry-images/199110040159339</x:v>
      </x:c>
      <x:c r="Y10" s="303" t="str">
        <x:v>/private/tmp/osint-7Vd0k25d/cherry-images/199110040159339/ocr</x:v>
      </x:c>
    </x:row>
    <x:row r="11" ht="66" customHeight="1">
      <x:c r="A11" s="303" t="str">
        <x:v>Cherry Bottom</x:v>
      </x:c>
      <x:c r="B11" s="315" t="str">
        <x:v>199110040159341</x:v>
      </x:c>
      <x:c r="C11" s="315" t="str">
        <x:v>123652597</x:v>
      </x:c>
      <x:c r="D11" s="312" t="n">
        <x:v>33515.5</x:v>
      </x:c>
      <x:c r="E11" s="312" t="n">
        <x:v>33511.5</x:v>
      </x:c>
      <x:c r="F11" s="303" t="str">
        <x:v>Mortgage, Assignment of Rents and Security Agreement</x:v>
      </x:c>
      <x:c r="G11" s="303" t="str">
        <x:v>KG Partners, an Ohio general partnership</x:v>
      </x:c>
      <x:c r="H11" s="303" t="str">
        <x:v>Cherry Bottom Properties, Inc., an Ohio corporation</x:v>
      </x:c>
      <x:c r="I11" s="303" t="str">
        <x:v>Properties is mortgagee/seller-lender; instrument is expressly subordinate to a Bank One, Columbus, N.A. open-end mortgage.</x:v>
      </x:c>
      <x:c r="J11" s="303" t="str">
        <x:v>$1,080,000 principal seller/lender note; monthly interest; balance due 1994-03-31. Senior Bank One mortgage secures three notes totaling $12,000,000 ($10,000,000 + $500,000 + $1,500,000).</x:v>
      </x:c>
      <x:c r="K11" s="303" t="str">
        <x:v>Franklin C. Kess — President, K-L Partners, Inc., managing partner of KG Partners.</x:v>
      </x:c>
      <x:c r="L11" s="303" t="str">
        <x:v>Mark E. McGrady</x:v>
      </x:c>
      <x:c r="M11" s="303" t="str">
        <x:v>Mark E. McGrady, Schwartz, Kelm, Warren &amp; Rubenstein, 41 South High Street, Columbus, Ohio 43215.</x:v>
      </x:c>
      <x:c r="N11" s="303" t="str">
        <x:v>Mortgagor: 35 North Fourth Street, Columbus, Ohio 43215. Mortgagee: 41 South High Street, Suite 3710, Columbus, Ohio 43215.</x:v>
      </x:c>
      <x:c r="O11" s="303" t="str">
        <x:v>Mortgage, rents assignment, and security interest encumber 33.664 acres gross / 32.517 net usable acres; limited-recourse language bars deficiency pursuit against KG's partners.</x:v>
      </x:c>
      <x:c r="P11" s="303" t="str">
        <x:v>025-4294 and 025-4278</x:v>
      </x:c>
      <x:c r="Q11" s="315" t="str">
        <x:v>Same transaction as deed 199110040159339; released by 199307120168459; release identifies mortgage record as OR 17785 C13.</x:v>
      </x:c>
      <x:c r="R11" s="303" t="str">
        <x:v>Properties financed part of KG's acquisition with a $1.08 million subordinate mortgage; this provides a money trail beyond the deed alone.</x:v>
      </x:c>
      <x:c r="S11" s="303" t="str">
        <x:v>https://franklin.oh.publicsearch.us/doc/123652597?department=RP</x:v>
      </x:c>
      <x:c r="T11" s="309" t="str">
        <x:v>7</x:v>
      </x:c>
      <x:c r="U11" s="303" t="str">
        <x:v>OCR completed for every page.</x:v>
      </x:c>
      <x:c r="V11" s="303" t="str">
        <x:v>1, 6</x:v>
      </x:c>
      <x:c r="W11" s="303" t="str">
        <x:v>Primary recorder images; all pages OCRed; debt/lien page and execution/acknowledgment page visually inspected.</x:v>
      </x:c>
      <x:c r="X11" s="303" t="str">
        <x:v>/private/tmp/osint-7Vd0k25d/cherry-images/199110040159341</x:v>
      </x:c>
      <x:c r="Y11" s="303" t="str">
        <x:v>/private/tmp/osint-7Vd0k25d/cherry-images/199110040159341/ocr</x:v>
      </x:c>
    </x:row>
    <x:row r="12" ht="66" customHeight="1">
      <x:c r="A12" s="303" t="str">
        <x:v>Cherry Bottom</x:v>
      </x:c>
      <x:c r="B12" s="315" t="str">
        <x:v>199202040059472</x:v>
      </x:c>
      <x:c r="C12" s="315" t="str">
        <x:v>123710689</x:v>
      </x:c>
      <x:c r="D12" s="312" t="str">
        <x:v>1992-02-04 15:12</x:v>
      </x:c>
      <x:c r="E12" s="312" t="n">
        <x:v>33493.5</x:v>
      </x:c>
      <x:c r="F12" s="303" t="str">
        <x:v>Limited Warranty Deed</x:v>
      </x:c>
      <x:c r="G12" s="303" t="str">
        <x:v>Thomas H. Lurie and Nancy N. Lurie, husband and wife, acting through attorney-in-fact</x:v>
      </x:c>
      <x:c r="H12" s="303" t="str">
        <x:v>Cherry Bottom Properties, Inc., an Ohio corporation</x:v>
      </x:c>
      <x:c r="I12" s="303" t="str">
        <x:v>Ben W. Hale, Jr. signs as attorney-in-fact for both Lurie grantors; Properties is grantee.</x:v>
      </x:c>
      <x:c r="J12" s="303" t="str">
        <x:v>Valuable consideration paid; amount not stated.</x:v>
      </x:c>
      <x:c r="K12" s="303" t="str">
        <x:v>Ben W. Hale, Jr. — attorney-in-fact for Thomas H. Lurie and Nancy N. Lurie.</x:v>
      </x:c>
      <x:c r="L12" s="303" t="str">
        <x:v>Paul S. Coppel</x:v>
      </x:c>
      <x:c r="M12" s="303" t="str">
        <x:v>Paul S. Coppel, Schwartz, Kelm, Warren &amp; Rubenstein, 41 South High Street, Suite 2300, Columbus, Ohio 43215; 614-224-3168.</x:v>
      </x:c>
      <x:c r="N12" s="303" t="str">
        <x:v>Tax mailing: 41 South High Street, Suite 3710, Columbus, Ohio 43215.</x:v>
      </x:c>
      <x:c r="O12" s="303" t="str">
        <x:v>Undivided 33 1/3% interest in a 1.700-acre tract.</x:v>
      </x:c>
      <x:c r="P12" s="303" t="str">
        <x:v>025-4278</x:v>
      </x:c>
      <x:c r="Q12" s="315" t="str">
        <x:v>Prior OR 11253 J11, OR 11254 A01, OR 11254 A07, OR 16658 J11. Immediately followed by 199202040059473.</x:v>
      </x:c>
      <x:c r="R12" s="303" t="str">
        <x:v>Together with Properties' earlier 66 2/3% interest, this completed its interest in the 1.700-acre component before the outbound deed.</x:v>
      </x:c>
      <x:c r="S12" s="303" t="str">
        <x:v>https://franklin.oh.publicsearch.us/doc/123710689?department=RP</x:v>
      </x:c>
      <x:c r="T12" s="309" t="str">
        <x:v>3</x:v>
      </x:c>
      <x:c r="U12" s="303" t="str">
        <x:v>OCR completed for every page.</x:v>
      </x:c>
      <x:c r="V12" s="303" t="str">
        <x:v>1</x:v>
      </x:c>
      <x:c r="W12" s="303" t="str">
        <x:v>Primary recorder images; all pages OCRed; operative/execution page visually inspected.</x:v>
      </x:c>
      <x:c r="X12" s="303" t="str">
        <x:v>/private/tmp/osint-7Vd0k25d/cherry-images/199202040059472</x:v>
      </x:c>
      <x:c r="Y12" s="303" t="str">
        <x:v>/private/tmp/osint-7Vd0k25d/cherry-images/199202040059472/ocr</x:v>
      </x:c>
    </x:row>
    <x:row r="13" ht="66" customHeight="1">
      <x:c r="A13" s="303" t="str">
        <x:v>Cherry Bottom</x:v>
      </x:c>
      <x:c r="B13" s="315" t="str">
        <x:v>199202040059473</x:v>
      </x:c>
      <x:c r="C13" s="315" t="str">
        <x:v>123710687</x:v>
      </x:c>
      <x:c r="D13" s="312" t="str">
        <x:v>1992-02-04 15:13</x:v>
      </x:c>
      <x:c r="E13" s="312" t="n">
        <x:v>33626.5</x:v>
      </x:c>
      <x:c r="F13" s="303" t="str">
        <x:v>General Warranty Deed</x:v>
      </x:c>
      <x:c r="G13" s="303" t="str">
        <x:v>Cherry Bottom Properties, Inc., an Ohio corporation</x:v>
      </x:c>
      <x:c r="H13" s="303" t="str">
        <x:v>Gahanna Medical Limited Partnership</x:v>
      </x:c>
      <x:c r="I13" s="303" t="str">
        <x:v>Properties is fee grantor; no Investors or successor-by-merger wording.</x:v>
      </x:c>
      <x:c r="J13" s="303" t="str">
        <x:v>Valuable consideration paid; amount not stated. Recorder tax stamp appears $212.50 and is not treated as purchase price.</x:v>
      </x:c>
      <x:c r="K13" s="303" t="str">
        <x:v>Jeffrey E. Epstein — Vice President, Cherry Bottom Properties, Inc.</x:v>
      </x:c>
      <x:c r="L13" s="303" t="str">
        <x:v>Luanna J. Klaiber</x:v>
      </x:c>
      <x:c r="M13" s="303" t="str">
        <x:v>Paul S. Coppel, Schwartz, Kelm, Warren &amp; Rubenstein, 41 South High Street, 23rd Floor, Columbus, Ohio 43215; 614-222-3000.</x:v>
      </x:c>
      <x:c r="N13" s="303" t="str">
        <x:v>Grantee tax mailing: 6241 Riverside Drive, Suite 2-5, Dublin, Ohio 43017.</x:v>
      </x:c>
      <x:c r="O13" s="303" t="str">
        <x:v>Exhibit A conveys 1.700 acres and includes a temporary 10-foot ingress/egress easement terminating when Cherry Way Drive is completed/opened. The index's additional 17.791, 10.554, and 6.302 acreages are restriction-context exhibits, not acreage conveyed.</x:v>
      </x:c>
      <x:c r="P13" s="303" t="str">
        <x:v>025-004290</x:v>
      </x:c>
      <x:c r="Q13" s="315" t="str">
        <x:v>Prior references include OR 11253 J11 and OR 16658 J11; paired incoming deed is immediately preceding 199202040059472 / OR 18561 C19; later marginal declaration 199511200215267.</x:v>
      </x:c>
      <x:c r="R13" s="303" t="str">
        <x:v>Epstein personally executed Properties' disposition of the assembled 1.700-acre tract.</x:v>
      </x:c>
      <x:c r="S13" s="303" t="str">
        <x:v>https://franklin.oh.publicsearch.us/doc/123710687?department=RP</x:v>
      </x:c>
      <x:c r="T13" s="309" t="str">
        <x:v>13</x:v>
      </x:c>
      <x:c r="U13" s="303" t="str">
        <x:v>OCR completed for every page.</x:v>
      </x:c>
      <x:c r="V13" s="303" t="str">
        <x:v>1, 6</x:v>
      </x:c>
      <x:c r="W13" s="303" t="str">
        <x:v>Primary recorder images; all pages OCRed; party/operative and execution/acknowledgment pages visually inspected.</x:v>
      </x:c>
      <x:c r="X13" s="303" t="str">
        <x:v>/private/tmp/osint-7Vd0k25d/cherry-images/199202040059473</x:v>
      </x:c>
      <x:c r="Y13" s="303" t="str">
        <x:v>/private/tmp/osint-7Vd0k25d/cherry-images/199202040059473/ocr</x:v>
      </x:c>
    </x:row>
    <x:row r="14" ht="66" customHeight="1">
      <x:c r="A14" s="303" t="str">
        <x:v>Cherry Bottom</x:v>
      </x:c>
      <x:c r="B14" s="315" t="str">
        <x:v>190001010010624</x:v>
      </x:c>
      <x:c r="C14" s="315" t="str">
        <x:v>131772911</x:v>
      </x:c>
      <x:c r="D14" s="312" t="str">
        <x:v>1992-09-28 (time not visible)</x:v>
      </x:c>
      <x:c r="E14" s="312" t="str">
        <x:v>1992-09-04 (Cherry Bottom Properties, Inc.); 1992-09-08 (Thomas H. and Nancy N. Lurie)</x:v>
      </x:c>
      <x:c r="F14" s="303" t="str">
        <x:v>PLAT</x:v>
      </x:c>
      <x:c r="G14" s="303" t="str">
        <x:v>Cherry Bottom Properties, Inc., owner of an undivided 66 2/3%; Thomas H. Lurie and Nancy N. Lurie, owners of an undivided 33 1/3%</x:v>
      </x:c>
      <x:c r="H14" s="303" t="str">
        <x:v>City of Gahanna / public plat dedication and lot owners</x:v>
      </x:c>
      <x:c r="I14" s="303" t="str">
        <x:v>Cherry Bottom Properties, Inc. expressly appears as 66 2/3% owner; Thomas H. and Nancy N. Lurie appear as 33 1/3% owners. No successor-by-merger recital.</x:v>
      </x:c>
      <x:c r="J14" s="303" t="str">
        <x:v>Document face: Not applicable; Recorder/index tax or amount: Not applicable</x:v>
      </x:c>
      <x:c r="K14" s="303" t="str">
        <x:v>William R. Westbrook, Vice-President, Cherry Bottom Properties, Inc.; Thomas H. Lurie; Nancy N. Lurie</x:v>
      </x:c>
      <x:c r="L14" s="303" t="str">
        <x:v>Thomas D. Sibilla</x:v>
      </x:c>
      <x:c r="M14" s="303" t="str">
        <x:v>EMH&amp;T, Consulting Engineers &amp; Surveyors; surveyor signature appears E. E. Miller, P.S. No. 4965</x:v>
      </x:c>
      <x:c r="N14" s="303" t="str">
        <x:v>None stated</x:v>
      </x:c>
      <x:c r="O14" s="303" t="str">
        <x:v>Cherry Bottom Commerce Park, City of Gahanna, Franklin County; Lots 1-4; Lot 1 5.291 acres, Lot 2 4.060 acres, Lot 3 1.619 acres, Lot 4 2.733 acres; acreage/area: 15.623 total plat acres</x:v>
      </x:c>
      <x:c r="P14" s="303" t="str">
        <x:v>None stated</x:v>
      </x:c>
      <x:c r="Q14" s="315" t="str">
        <x:v>Prior: OR 16658J11; OR 11253J11; next/marginal: Recorded in Plat Book 76, page 49</x:v>
      </x:c>
      <x:c r="R14" s="303" t="str">
        <x:v>The 1900 instrument date is an index placeholder, not the plat date. Face execution dates are September 4 and 8, 1992; recorder marginal text says recorded September 28, 1992. Municipal approvals on the face include 1992 dates.</x:v>
      </x:c>
      <x:c r="S14" s="303" t="str">
        <x:v>https://franklin.oh.publicsearch.us/doc/131772911?department=RP</x:v>
      </x:c>
      <x:c r="T14" s="309" t="str">
        <x:v>1</x:v>
      </x:c>
      <x:c r="U14" s="303" t="str">
        <x:v>OCR completed for every page.</x:v>
      </x:c>
      <x:c r="V14" s="303" t="str">
        <x:v>Visual full plat page; right-side owner, notary, approval, and recorder marginal text visually inspected; OCR page 1</x:v>
      </x:c>
      <x:c r="W14" s="303" t="str">
        <x:v>Primary recorder images; all pages reviewed through OCR and the cited pages visually checked (visual_primary_resolves_index_date).</x:v>
      </x:c>
      <x:c r="X14" s="303" t="str">
        <x:v>/private/tmp/osint-7Vd0k25d/cherry-images/190001010010624</x:v>
      </x:c>
      <x:c r="Y14" s="303" t="str">
        <x:v>/private/tmp/osint-7Vd0k25d/cherry-images/190001010010624/ocr</x:v>
      </x:c>
    </x:row>
    <x:row r="15" ht="66" customHeight="1">
      <x:c r="A15" s="303" t="str">
        <x:v>Cherry Bottom</x:v>
      </x:c>
      <x:c r="B15" s="315" t="str">
        <x:v>199307090167605</x:v>
      </x:c>
      <x:c r="C15" s="315" t="str">
        <x:v>124092768</x:v>
      </x:c>
      <x:c r="D15" s="312" t="str">
        <x:v>1993-07-09 14:20</x:v>
      </x:c>
      <x:c r="E15" s="312" t="n">
        <x:v>34145.5</x:v>
      </x:c>
      <x:c r="F15" s="303" t="str">
        <x:v>DEED OF EASEMENT</x:v>
      </x:c>
      <x:c r="G15" s="303" t="str">
        <x:v>Thomas H. Lurie, a married man; Cherry Bottom Properties, Inc.; Nancy N. Lurie joins in execution/dower acknowledgment</x:v>
      </x:c>
      <x:c r="H15" s="303" t="str">
        <x:v>City of Columbus, Ohio, a municipal corporation</x:v>
      </x:c>
      <x:c r="I15" s="303" t="str">
        <x:v>Cherry Bottom Properties, Inc. and the Luries execute as direct grantors; Nancy N. Lurie also joins for dower. No successor-by-merger recital.</x:v>
      </x:c>
      <x:c r="J15" s="303" t="str">
        <x:v>Document face: $1 and other good and valuable consideration; Recorder/index tax or amount: Transfer-exempt</x:v>
      </x:c>
      <x:c r="K15" s="303" t="str">
        <x:v>Gary Kerney, President, Cherry Bottom Properties, Inc.; Thomas H. Lurie; Nancy N. Lurie</x:v>
      </x:c>
      <x:c r="L15" s="303" t="str">
        <x:v>Joy D. Myers</x:v>
      </x:c>
      <x:c r="M15" s="303" t="str">
        <x:v>City of Columbus Department of Law, Richard A. Pieplow, Real Estate Attorney, Real Estate Division; survey description by Hockaden and Associates</x:v>
      </x:c>
      <x:c r="N15" s="303" t="str">
        <x:v>City of Columbus, Department of Engineering and Construction; project identified as Misc. Intersection Morse/Cherry Bottom Road #2</x:v>
      </x:c>
      <x:c r="O15" s="303" t="str">
        <x:v>Permanent storm-sewer easement over part of a 6.302-acre tract north of Morse Road and east of Cherry Bottom Road; easement contains 3,806.5 square feet; acreage/area: 0.0874 easement area; underlying tract 6.302</x:v>
      </x:c>
      <x:c r="P15" s="303" t="str">
        <x:v>None stated</x:v>
      </x:c>
      <x:c r="Q15" s="315" t="str">
        <x:v>Prior: OR 11254A01; OR 11254A07; OR 11253J16; next/marginal: None stated</x:v>
      </x:c>
      <x:c r="R15" s="303" t="str">
        <x:v>Legal description says the 6.302-acre tract was held 80% by Cherry Bottom Development Co. No. 4 under OR 11254A01/A07 and 20% by Thomas H. Lurie under OR 11253J16.</x:v>
      </x:c>
      <x:c r="S15" s="303" t="str">
        <x:v>https://franklin.oh.publicsearch.us/doc/124092768?department=RP</x:v>
      </x:c>
      <x:c r="T15" s="309" t="str">
        <x:v>4</x:v>
      </x:c>
      <x:c r="U15" s="303" t="str">
        <x:v>OCR completed for every page.</x:v>
      </x:c>
      <x:c r="V15" s="303" t="str">
        <x:v>Visual pp. 1-2; legal/survey pp. 3-4; OCR pp. 1-4</x:v>
      </x:c>
      <x:c r="W15" s="303" t="str">
        <x:v>Primary recorder images; all pages reviewed through OCR and the cited pages visually checked (visual_primary_plus_ocr).</x:v>
      </x:c>
      <x:c r="X15" s="303" t="str">
        <x:v>/private/tmp/osint-7Vd0k25d/cherry-images/199307090167605</x:v>
      </x:c>
      <x:c r="Y15" s="303" t="str">
        <x:v>/private/tmp/osint-7Vd0k25d/cherry-images/199307090167605/ocr</x:v>
      </x:c>
    </x:row>
    <x:row r="16" ht="66" customHeight="1">
      <x:c r="A16" s="303" t="str">
        <x:v>Cherry Bottom</x:v>
      </x:c>
      <x:c r="B16" s="315" t="str">
        <x:v>199307120168459</x:v>
      </x:c>
      <x:c r="C16" s="315" t="str">
        <x:v>124094199</x:v>
      </x:c>
      <x:c r="D16" s="312" t="str">
        <x:v>1993-07-12 14:02</x:v>
      </x:c>
      <x:c r="E16" s="312" t="n">
        <x:v>34158.5</x:v>
      </x:c>
      <x:c r="F16" s="303" t="str">
        <x:v>Satisfaction of Mortgage</x:v>
      </x:c>
      <x:c r="G16" s="303" t="str">
        <x:v>Cherry Bottom Properties, Inc., mortgagee</x:v>
      </x:c>
      <x:c r="H16" s="303" t="str">
        <x:v>KG Partners mortgage released</x:v>
      </x:c>
      <x:c r="I16" s="303" t="str">
        <x:v>Properties certifies the KG mortgage fully paid and satisfied as to the described property and authorizes discharge.</x:v>
      </x:c>
      <x:c r="J16" s="303" t="str">
        <x:v>Full satisfaction of the $1,080,000 mortgage recorded as OR 17785 C13.</x:v>
      </x:c>
      <x:c r="K16" s="303" t="str">
        <x:v>Jeffrey J. Smith — Secretary, Cherry Bottom Properties, Inc.</x:v>
      </x:c>
      <x:c r="L16" s="303" t="str">
        <x:v>Amy B. Rice</x:v>
      </x:c>
      <x:c r="M16" s="303" t="str">
        <x:v>Richard W. Rubenstein, Schwartz, Kelm, Warren &amp; Rubenstein, 41 South High Street, Columbus, Ohio 43215; 614-222-3000.</x:v>
      </x:c>
      <x:c r="N16" s="303" t="str">
        <x:v>Not stated on instrument.</x:v>
      </x:c>
      <x:c r="O16" s="303" t="str">
        <x:v>Release covers the 33.664-acre / 32.517-net tract.</x:v>
      </x:c>
      <x:c r="P16" s="303" t="str">
        <x:v>025-4294 and 025-4278</x:v>
      </x:c>
      <x:c r="Q16" s="315" t="str">
        <x:v>Releases mortgage 199110040159341, dated 1991-09-30 and recorded 1991-10-04 at OR 17785 C13.</x:v>
      </x:c>
      <x:c r="R16" s="303" t="str">
        <x:v>Closes the seller-financing trail: Properties' $1.08 million mortgage was satisfied by July 1993.</x:v>
      </x:c>
      <x:c r="S16" s="303" t="str">
        <x:v>https://franklin.oh.publicsearch.us/doc/124094199?department=RP</x:v>
      </x:c>
      <x:c r="T16" s="309" t="str">
        <x:v>2</x:v>
      </x:c>
      <x:c r="U16" s="303" t="str">
        <x:v>OCR completed for every page.</x:v>
      </x:c>
      <x:c r="V16" s="303" t="str">
        <x:v>1</x:v>
      </x:c>
      <x:c r="W16" s="303" t="str">
        <x:v>Primary recorder images; all pages OCRed; operative/execution page visually inspected.</x:v>
      </x:c>
      <x:c r="X16" s="303" t="str">
        <x:v>/private/tmp/osint-7Vd0k25d/cherry-images/199307120168459</x:v>
      </x:c>
      <x:c r="Y16" s="303" t="str">
        <x:v>/private/tmp/osint-7Vd0k25d/cherry-images/199307120168459/ocr</x:v>
      </x:c>
    </x:row>
    <x:row r="17" ht="66" customHeight="1">
      <x:c r="A17" s="303" t="str">
        <x:v>Cherry Bottom</x:v>
      </x:c>
      <x:c r="B17" s="315" t="str">
        <x:v>199311040257719</x:v>
      </x:c>
      <x:c r="C17" s="315" t="str">
        <x:v>124197370</x:v>
      </x:c>
      <x:c r="D17" s="312" t="str">
        <x:v>1993-11-04 15:00</x:v>
      </x:c>
      <x:c r="E17" s="312" t="n">
        <x:v>34276.5</x:v>
      </x:c>
      <x:c r="F17" s="303" t="str">
        <x:v>GENERAL WARRANTY DEED</x:v>
      </x:c>
      <x:c r="G17" s="303" t="str">
        <x:v>Cherry Bottom Properties, Inc.; Thomas H. Lurie; Nancy N. Lurie</x:v>
      </x:c>
      <x:c r="H17" s="303" t="str">
        <x:v>Gahanna Medical Limited Partnership, an Ohio limited partnership</x:v>
      </x:c>
      <x:c r="I17" s="303" t="str">
        <x:v>Cherry Bottom Properties, Inc. and the Luries execute as direct co-grantors. No successor-by-merger recital.</x:v>
      </x:c>
      <x:c r="J17" s="303" t="str">
        <x:v>Document face: Valuable consideration paid; no face amount stated; Recorder/index tax or amount: $23 conveyance tax/index amount; Lender/debt: None in this deed</x:v>
      </x:c>
      <x:c r="K17" s="303" t="str">
        <x:v>Jeffrey J. Smith, Secretary, Cherry Bottom Properties, Inc.; Thomas H. Lurie; Nancy N. Lurie</x:v>
      </x:c>
      <x:c r="L17" s="303" t="str">
        <x:v>Amy K. Rice (Smith/Cherry Bottom Properties, Inc.); Joy D. Myers (Luries)</x:v>
      </x:c>
      <x:c r="M17" s="303" t="str">
        <x:v>Prepared by Cherry Bottom Properties, Inc., 41 South High Street, Suite 3710, Columbus, Ohio 43215</x:v>
      </x:c>
      <x:c r="N17" s="303" t="str">
        <x:v>Tax bills to Gahanna Medical Limited Partnership, 6241 Riverside Drive, Suite 2-B, Dublin, Ohio 43017</x:v>
      </x:c>
      <x:c r="O17" s="303" t="str">
        <x:v>0.189-acre parcel out of Lot 1, Cherry Bottom Commerce Park, plus temporary pedestrian and vehicle access until Cherry Way opens; restrictions also describe broader burdened Parcels A-C; acreage/area: 0.189 conveyed</x:v>
      </x:c>
      <x:c r="P17" s="303" t="str">
        <x:v>None stated</x:v>
      </x:c>
      <x:c r="Q17" s="315" t="str">
        <x:v>Prior: OR 11253J11; OR 16658J11; next/marginal: OR 24539C13; amended/referenced by 199511200215267</x:v>
      </x:c>
      <x:c r="R17" s="303" t="str">
        <x:v>The index acreage values 17.791, 10.554, and 6.302 describe restriction parcels, not the parcel conveyed. Exhibit A gives the conveyed parcel as 0.189 acre. $23 is recorder/index conveyance tax.</x:v>
      </x:c>
      <x:c r="S17" s="303" t="str">
        <x:v>https://franklin.oh.publicsearch.us/doc/124197370?department=RP</x:v>
      </x:c>
      <x:c r="T17" s="309" t="str">
        <x:v>13</x:v>
      </x:c>
      <x:c r="U17" s="303" t="str">
        <x:v>OCR attempted for every page; p. 12 produced no text because it is a rotated survey/map, visually checked as nonblank.</x:v>
      </x:c>
      <x:c r="V17" s="303" t="str">
        <x:v>Visual pp. 1, 5-7; all 13 pages OCRed</x:v>
      </x:c>
      <x:c r="W17" s="303" t="str">
        <x:v>Primary recorder images; all pages reviewed through OCR and the cited pages visually checked (visual_primary_refines_index_legal).</x:v>
      </x:c>
      <x:c r="X17" s="303" t="str">
        <x:v>/private/tmp/osint-7Vd0k25d/cherry-images/199311040257719</x:v>
      </x:c>
      <x:c r="Y17" s="303" t="str">
        <x:v>/private/tmp/osint-7Vd0k25d/cherry-images/199311040257719/ocr</x:v>
      </x:c>
    </x:row>
    <x:row r="18" ht="66" customHeight="1">
      <x:c r="A18" s="303" t="str">
        <x:v>Cherry Bottom</x:v>
      </x:c>
      <x:c r="B18" s="315" t="str">
        <x:v>199311040257720</x:v>
      </x:c>
      <x:c r="C18" s="315" t="str">
        <x:v>124197399</x:v>
      </x:c>
      <x:c r="D18" s="312" t="str">
        <x:v>1993-11-04 15:01</x:v>
      </x:c>
      <x:c r="E18" s="312" t="n">
        <x:v>34276.5</x:v>
      </x:c>
      <x:c r="F18" s="303" t="str">
        <x:v>DECLARATION OF COVENANTS, CONDITIONS, RESTRICTIONS AND EASEMENTS</x:v>
      </x:c>
      <x:c r="G18" s="303" t="str">
        <x:v>Cherry Bottom Properties, Inc.; Thomas H. Lurie; Nancy N. Lurie</x:v>
      </x:c>
      <x:c r="H18" s="303" t="str">
        <x:v>Present and future owners and designated parties benefiting from or burdened by the declaration</x:v>
      </x:c>
      <x:c r="I18" s="303" t="str">
        <x:v>Cherry Bottom Properties, Inc. and the Luries act as owners/declarants creating reciprocal land covenants. No successor-by-merger recital.</x:v>
      </x:c>
      <x:c r="J18" s="303" t="str">
        <x:v>Document face: Mutual covenants; no monetary consideration stated; Recorder/index tax or amount: Transfer-exempt</x:v>
      </x:c>
      <x:c r="K18" s="303" t="str">
        <x:v>Jeffrey J. Smith, Secretary, Cherry Bottom Properties, Inc.; Thomas H. Lurie; Nancy N. Lurie</x:v>
      </x:c>
      <x:c r="L18" s="303" t="str">
        <x:v>Amy K. Rice (Smith/Cherry Bottom Properties, Inc.); Joy D. Myers (Luries)</x:v>
      </x:c>
      <x:c r="M18" s="303" t="str">
        <x:v>Prepared by Cherry Bottom Properties, Inc., 41 South High Street, Suite 3710, Columbus, Ohio 43215</x:v>
      </x:c>
      <x:c r="N18" s="303" t="str">
        <x:v>Cherry Bottom Properties, Inc., 41 South High Street, Suite 3710, Columbus, Ohio 43215</x:v>
      </x:c>
      <x:c r="O18" s="303" t="str">
        <x:v>Cherry Bottom Commerce Park, Plat Book 76, page 49; declaration extends restrictions over Parcel A 17.791 acres, Parcel B 10.554 acres, and Parcel C 6.302 acres; includes temporary access until Cherry Way opens; acreage/area: 17.791; 10.554; 6.302 restriction tracts</x:v>
      </x:c>
      <x:c r="P18" s="303" t="str">
        <x:v>None stated</x:v>
      </x:c>
      <x:c r="Q18" s="315" t="str">
        <x:v>Prior: OR 11253J11; OR 16658J11; OR 24539C13; next/marginal: OR 24539D06; amended by 199511200215267</x:v>
      </x:c>
      <x:c r="R18" s="303" t="str">
        <x:v>No conventional grantee; this instrument creates reciprocal covenants and easements running with the land.</x:v>
      </x:c>
      <x:c r="S18" s="303" t="str">
        <x:v>https://franklin.oh.publicsearch.us/doc/124197399?department=RP</x:v>
      </x:c>
      <x:c r="T18" s="309" t="str">
        <x:v>14</x:v>
      </x:c>
      <x:c r="U18" s="303" t="str">
        <x:v>OCR attempted for every page; p. 13 produced no text because it is a rotated survey/map, visually checked as nonblank.</x:v>
      </x:c>
      <x:c r="V18" s="303" t="str">
        <x:v>Visual pp. 1, 5-6; all 14 pages OCRed</x:v>
      </x:c>
      <x:c r="W18" s="303" t="str">
        <x:v>Primary recorder images; all pages reviewed through OCR and the cited pages visually checked (visual_primary_plus_ocr).</x:v>
      </x:c>
      <x:c r="X18" s="303" t="str">
        <x:v>/private/tmp/osint-7Vd0k25d/cherry-images/199311040257720</x:v>
      </x:c>
      <x:c r="Y18" s="303" t="str">
        <x:v>/private/tmp/osint-7Vd0k25d/cherry-images/199311040257720/ocr</x:v>
      </x:c>
    </x:row>
    <x:row r="19" ht="66" customHeight="1">
      <x:c r="A19" s="303" t="str">
        <x:v>Cherry Bottom</x:v>
      </x:c>
      <x:c r="B19" s="315" t="str">
        <x:v>199505010100017</x:v>
      </x:c>
      <x:c r="C19" s="315" t="str">
        <x:v>124588935</x:v>
      </x:c>
      <x:c r="D19" s="312" t="str">
        <x:v>1995-05-01 09:01</x:v>
      </x:c>
      <x:c r="E19" s="312" t="n">
        <x:v>34816.5</x:v>
      </x:c>
      <x:c r="F19" s="303" t="str">
        <x:v>GENERAL WARRANTY DEED</x:v>
      </x:c>
      <x:c r="G19" s="303" t="str">
        <x:v>Cherry Bottom Properties, Inc.; Thomas H. Lurie; Nancy N. Lurie</x:v>
      </x:c>
      <x:c r="H19" s="303" t="str">
        <x:v>HER, Inc., an Ohio corporation</x:v>
      </x:c>
      <x:c r="I19" s="303" t="str">
        <x:v>Cherry Bottom Properties, Inc. and the Luries execute as direct co-grantors. No successor-by-merger recital.</x:v>
      </x:c>
      <x:c r="J19" s="303" t="str">
        <x:v>Document face: $10 and other good and valuable consideration; Recorder/index tax or amount: $186 conveyance tax/index amount</x:v>
      </x:c>
      <x:c r="K19" s="303" t="str">
        <x:v>Gary Kerney, Chief Executive Officer, Cherry Bottom Properties, Inc.; Thomas H. Lurie; Nancy N. Lurie</x:v>
      </x:c>
      <x:c r="L19" s="303" t="str">
        <x:v>Georgene A. Feather (Cherry Bottom Properties, Inc.); Meta J. Stokes (Luries)</x:v>
      </x:c>
      <x:c r="M19" s="303" t="str">
        <x:v>Prepared under the direction of Cherry Bottom Properties, Inc., 5906 East Dublin-Granville Road, New Albany, Ohio 43054</x:v>
      </x:c>
      <x:c r="N19" s="303" t="str">
        <x:v>Tax bills to HER, Inc., 4656 Executive Drive, Columbus, Ohio 43220</x:v>
      </x:c>
      <x:c r="O19" s="303" t="str">
        <x:v>2.241-acre tract, part of Lot 2, Cherry Bottom Commerce Park; subject to pedestrian/bikeway restriction; acreage/area: 2.241</x:v>
      </x:c>
      <x:c r="P19" s="303" t="str">
        <x:v>Part of 025-10027</x:v>
      </x:c>
      <x:c r="Q19" s="315" t="str">
        <x:v>Prior: OR 16658J11; OR 11253J11; next/marginal: None stated</x:v>
      </x:c>
      <x:c r="R19" s="303" t="str">
        <x:v>Face p. 1 states: “does hereby GRANT, BARGAIN, SELL AND CONVEY to HER, INC., an Ohio corporation.” Kofile index omits HER, Inc. and incorrectly places the Luries in the grantee field. $10 is deed consideration; $186 is recorder/index conveyance tax.</x:v>
      </x:c>
      <x:c r="S19" s="303" t="str">
        <x:v>https://franklin.oh.publicsearch.us/doc/124588935?department=RP</x:v>
      </x:c>
      <x:c r="T19" s="309" t="str">
        <x:v>5</x:v>
      </x:c>
      <x:c r="U19" s="303" t="str">
        <x:v>OCR completed for every page.</x:v>
      </x:c>
      <x:c r="V19" s="303" t="str">
        <x:v>Visual pp. 1-2; legal pp. 3-4; survey p. 5; OCR pp. 1-5</x:v>
      </x:c>
      <x:c r="W19" s="303" t="str">
        <x:v>Primary recorder images; all pages reviewed through OCR and the cited pages visually checked (visual_primary_contradicts_party_index).</x:v>
      </x:c>
      <x:c r="X19" s="303" t="str">
        <x:v>/private/tmp/osint-7Vd0k25d/cherry-images/199505010100017</x:v>
      </x:c>
      <x:c r="Y19" s="303" t="str">
        <x:v>/private/tmp/osint-7Vd0k25d/cherry-images/199505010100017/ocr</x:v>
      </x:c>
    </x:row>
    <x:row r="20" ht="66" customHeight="1">
      <x:c r="A20" s="303" t="str">
        <x:v>Cherry Bottom</x:v>
      </x:c>
      <x:c r="B20" s="315" t="str">
        <x:v>199507170142473</x:v>
      </x:c>
      <x:c r="C20" s="315" t="str">
        <x:v>124640745</x:v>
      </x:c>
      <x:c r="D20" s="312" t="str">
        <x:v>1995-07-17 10:24</x:v>
      </x:c>
      <x:c r="E20" s="312" t="str">
        <x:v>1995-07-13 (Cherry Bottom Properties, Inc.); 1995-07-14 (Luries acknowledged)</x:v>
      </x:c>
      <x:c r="F20" s="303" t="str">
        <x:v>GENERAL WARRANTY DEED</x:v>
      </x:c>
      <x:c r="G20" s="303" t="str">
        <x:v>Cherry Bottom Properties, Inc.; Thomas H. Lurie; Nancy N. Lurie</x:v>
      </x:c>
      <x:c r="H20" s="303" t="str">
        <x:v>Chelsea Partnership, an Ohio general partnership</x:v>
      </x:c>
      <x:c r="I20" s="303" t="str">
        <x:v>Cherry Bottom Properties, Inc. and the Luries execute as direct co-grantors. No successor-by-merger recital.</x:v>
      </x:c>
      <x:c r="J20" s="303" t="str">
        <x:v>Document face: $10 and other good and valuable consideration; Recorder/index tax or amount: $375 conveyance tax/index amount</x:v>
      </x:c>
      <x:c r="K20" s="303" t="str">
        <x:v>Gary Kerney, Authorized Representative, Cherry Bottom Properties, Inc.; Thomas H. Lurie; Nancy N. Lurie</x:v>
      </x:c>
      <x:c r="L20" s="303" t="str">
        <x:v>Georgene A. Feather (Kerney/Cherry Bottom Properties, Inc.); Meta J. Stokes (Luries)</x:v>
      </x:c>
      <x:c r="M20" s="303" t="str">
        <x:v>Prepared under the direction of Cherry Bottom Properties, Inc., 5906 East Dublin-Granville Road, New Albany, Ohio 43054</x:v>
      </x:c>
      <x:c r="N20" s="303" t="str">
        <x:v>Tax bills to Chelsea Partnership, 4430 Tuller Road, Dublin, Ohio 43017</x:v>
      </x:c>
      <x:c r="O20" s="303" t="str">
        <x:v>Parts of Lots 3 and 4, Cherry Bottom Commerce Park; acreage/area: 2.733</x:v>
      </x:c>
      <x:c r="P20" s="303" t="str">
        <x:v>025-010029</x:v>
      </x:c>
      <x:c r="Q20" s="315" t="str">
        <x:v>Prior: OR 16658J11; OR 11253J11; next/marginal: 199507170142474 (companion cross-easement agreement recorded immediately afterward)</x:v>
      </x:c>
      <x:c r="R20" s="303" t="str">
        <x:v>$10 is deed consideration; $375 is recorder/index conveyance tax.</x:v>
      </x:c>
      <x:c r="S20" s="303" t="str">
        <x:v>https://franklin.oh.publicsearch.us/doc/124640745?department=RP</x:v>
      </x:c>
      <x:c r="T20" s="309" t="str">
        <x:v>5</x:v>
      </x:c>
      <x:c r="U20" s="303" t="str">
        <x:v>OCR completed for every page.</x:v>
      </x:c>
      <x:c r="V20" s="303" t="str">
        <x:v>Visual pp. 1-2; legal/survey pp. 3-5; OCR pp. 1-5</x:v>
      </x:c>
      <x:c r="W20" s="303" t="str">
        <x:v>Primary recorder images; all pages reviewed through OCR and the cited pages visually checked (visual_primary_plus_ocr).</x:v>
      </x:c>
      <x:c r="X20" s="303" t="str">
        <x:v>/private/tmp/osint-7Vd0k25d/cherry-images/199507170142473</x:v>
      </x:c>
      <x:c r="Y20" s="303" t="str">
        <x:v>/private/tmp/osint-7Vd0k25d/cherry-images/199507170142473/ocr</x:v>
      </x:c>
    </x:row>
    <x:row r="21" ht="66" customHeight="1">
      <x:c r="A21" s="303" t="str">
        <x:v>Cherry Bottom</x:v>
      </x:c>
      <x:c r="B21" s="315" t="str">
        <x:v>199507170142474</x:v>
      </x:c>
      <x:c r="C21" s="315" t="str">
        <x:v>124640842</x:v>
      </x:c>
      <x:c r="D21" s="312" t="str">
        <x:v>1995-07-17 10:25</x:v>
      </x:c>
      <x:c r="E21" s="312" t="n">
        <x:v>34893.5</x:v>
      </x:c>
      <x:c r="F21" s="303" t="str">
        <x:v>CROSS EASEMENT AND MAINTENANCE AGREEMENT</x:v>
      </x:c>
      <x:c r="G21" s="303" t="str">
        <x:v>Thomas H. Lurie; Nancy N. Lurie; Cherry Bottom Properties, Inc., collectively Developer</x:v>
      </x:c>
      <x:c r="H21" s="303" t="str">
        <x:v>Chelsea Partnership, an Ohio general partnership; reciprocal benefits also run to Developer</x:v>
      </x:c>
      <x:c r="I21" s="303" t="str">
        <x:v>Cherry Bottom Properties, Inc. and the Luries are collectively defined as Developer; Chelsea is the reciprocal counterparty. No successor-by-merger recital.</x:v>
      </x:c>
      <x:c r="J21" s="303" t="str">
        <x:v>Document face: Mutual covenants and consideration; no monetary amount stated; Recorder/index tax or amount: Transfer-exempt; Lender/debt: No present lender; agreement requires first-mortgage-holder consent for future substantive amendments</x:v>
      </x:c>
      <x:c r="K21" s="303" t="str">
        <x:v>Gary Kerney, Authorized Representative, Cherry Bottom Properties, Inc.; Thomas H. Lurie; Nancy N. Lurie; Charles A. Penzone, Authorized General Partner, Chelsea Partnership</x:v>
      </x:c>
      <x:c r="L21" s="303" t="str">
        <x:v>Meta J. Stokes</x:v>
      </x:c>
      <x:c r="M21" s="303" t="str">
        <x:v>Not stated</x:v>
      </x:c>
      <x:c r="N21" s="303" t="str">
        <x:v>Developer c/o The New Albany Co., 5609 East Dublin Granville Road, New Albany, Ohio 43054; Chelsea Partnership, 4430 Tuller Road, Dublin, Ohio 43017</x:v>
      </x:c>
      <x:c r="O21" s="303" t="str">
        <x:v>Developer Parcel 1, 1.619 acres in parts of Lots 3 and 4; Chelsea Parcel 2, 2.733 acres in parts of Lots 3 and 4; reciprocal access strips of 0.048 and 0.068 acre; drive maintenance split 50/50; acreage/area: 1.619; 2.733; access strips 0.048 and 0.068</x:v>
      </x:c>
      <x:c r="P21" s="303" t="str">
        <x:v>None stated</x:v>
      </x:c>
      <x:c r="Q21" s="315" t="str">
        <x:v>Prior: Plat Book 76, page 49; companion deed 199507170142473; next/marginal: None stated</x:v>
      </x:c>
      <x:c r="R21" s="303" t="str">
        <x:v>The printed Developer address is 5609, not the 5906 address used on several deeds. Companion deed 199507170142473 immediately precedes this agreement.</x:v>
      </x:c>
      <x:c r="S21" s="303" t="str">
        <x:v>https://franklin.oh.publicsearch.us/doc/124640842?department=RP</x:v>
      </x:c>
      <x:c r="T21" s="309" t="str">
        <x:v>17</x:v>
      </x:c>
      <x:c r="U21" s="303" t="str">
        <x:v>OCR completed for every page.</x:v>
      </x:c>
      <x:c r="V21" s="303" t="str">
        <x:v>Visual pp. 1, 6-8; all 17 pages OCRed</x:v>
      </x:c>
      <x:c r="W21" s="303" t="str">
        <x:v>Primary recorder images; all pages reviewed through OCR and the cited pages visually checked (visual_primary_plus_ocr).</x:v>
      </x:c>
      <x:c r="X21" s="303" t="str">
        <x:v>/private/tmp/osint-7Vd0k25d/cherry-images/199507170142474</x:v>
      </x:c>
      <x:c r="Y21" s="303" t="str">
        <x:v>/private/tmp/osint-7Vd0k25d/cherry-images/199507170142474/ocr</x:v>
      </x:c>
    </x:row>
    <x:row r="22" ht="66" customHeight="1">
      <x:c r="A22" s="303" t="str">
        <x:v>Cherry Bottom</x:v>
      </x:c>
      <x:c r="B22" s="315" t="str">
        <x:v>199511200215267</x:v>
      </x:c>
      <x:c r="C22" s="315" t="str">
        <x:v>124728794</x:v>
      </x:c>
      <x:c r="D22" s="312" t="str">
        <x:v>1995-11-20 09:13</x:v>
      </x:c>
      <x:c r="E22" s="312" t="str">
        <x:v>1995-10-18 (made as of; signatures/acknowledgments span 1995-08-17 to 1995-11-07)</x:v>
      </x:c>
      <x:c r="F22" s="303" t="str">
        <x:v>AMENDMENT TO RESTRICTIONS, CONDITIONS, COVENANTS AND OBLIGATIONS</x:v>
      </x:c>
      <x:c r="G22" s="303" t="str">
        <x:v>Cherry Bottom Properties, Inc.; Thomas H. Lurie; Nancy N. Lurie; Gahanna Medical Limited Partnership; Chelsea Partnership; HER, Inc.; United Dairy Farmers, Inc.; Block Investments, Inc.; consenting mortgagees</x:v>
      </x:c>
      <x:c r="H22" s="303" t="str">
        <x:v>Owners of and mortgagees affecting the burdened properties</x:v>
      </x:c>
      <x:c r="I22" s="303" t="str">
        <x:v>Cherry Bottom Properties, Inc. appears as an Owner alongside the Luries and later parcel owners; named mortgagees consent. No successor-by-merger recital.</x:v>
      </x:c>
      <x:c r="J22" s="303" t="str">
        <x:v>Document face: Good and valuable consideration; no monetary amount stated; Recorder/index tax or amount: Transfer-exempt; Lender/debt: The Huntington National Bank, mortgage OR 28176A01; BancOhio National Bank, now known as National City Bank, Columbus, mortgages OR 19987D16 and OR 24452F08; National City Bank, Columbus, mortgage OR 24539D20; amounts not stated</x:v>
      </x:c>
      <x:c r="K22" s="303" t="str">
        <x:v>Jeffrey J. Smith, Secretary, Cherry Bottom Properties, Inc.; Thomas H. Lurie; Nancy N. Lurie; Denny Freudeman, Managing General Partner, Gahanna Medical Limited Partnership; Charles A. Penzone, Authorized General Partner, Chelsea Partnership; Harley E. Rouda, Jr., Vice President/General Counsel, HER, Inc.; Robert D. Lindner, Jr., President, United Dairy Farmers, Inc.; Daniel A. Tufte (surname appears), Assistant Vice President, BancOhio/National City; Jeff Block, President, Block Investments, Inc.; Mark Plegge (handwriting appears), Assistant Vice President, Huntington National Bank</x:v>
      </x:c>
      <x:c r="L22" s="303" t="str">
        <x:v>Georgene A. Feather; Brian Patrick DuPont; Denise M. Vanke; Chelsea notary stamp/name not confidently legible; Jeanne Hall; Lynn M. Roy; John B. Weber; Lauren K. Vagt; Darlene M. Hartmann</x:v>
      </x:c>
      <x:c r="M22" s="303" t="str">
        <x:v>Prepared on behalf of Cherry Bottom Properties, Inc., 5906 East Dublin-Granville Road, New Albany, Ohio 43054</x:v>
      </x:c>
      <x:c r="N22" s="303" t="str">
        <x:v>Cherry Bottom Properties, Inc., 5906 East Dublin-Granville Road, New Albany, Ohio 43054</x:v>
      </x:c>
      <x:c r="O22" s="303" t="str">
        <x:v>Amends setback and signage restrictions; does not restate full legal descriptions in the recorded image set; acreage/area: Not restated</x:v>
      </x:c>
      <x:c r="P22" s="303" t="str">
        <x:v>Not restated</x:v>
      </x:c>
      <x:c r="Q22" s="315" t="str">
        <x:v>Prior: OR 16071F14; OR 18561D02; OR 24539C13; OR 24539D06; mortgage references OR 28176A01, OR 19987D16, OR 24452F08, OR 24539D20; next/marginal: None stated</x:v>
      </x:c>
      <x:c r="R22" s="303" t="str">
        <x:v>Owner/mortgagee snapshot. Mortgage amounts are not stated. Some handwritten officer surnames are reported with explicit uncertainty. Page 1 was visually checked and reads OR 16071F14; the OCR/wave-B draft's OR 16971F14 was a transcription error.</x:v>
      </x:c>
      <x:c r="S22" s="303" t="str">
        <x:v>https://franklin.oh.publicsearch.us/doc/124728794?department=RP</x:v>
      </x:c>
      <x:c r="T22" s="309" t="str">
        <x:v>11</x:v>
      </x:c>
      <x:c r="U22" s="303" t="str">
        <x:v>OCR completed for every page.</x:v>
      </x:c>
      <x:c r="V22" s="303" t="str">
        <x:v>Visual pp. 1 and 3-11; OCR pp. 1-11</x:v>
      </x:c>
      <x:c r="W22" s="303" t="str">
        <x:v>Primary recorder images; all pages reviewed through OCR and the cited pages visually checked (visual_primary_plus_ocr).</x:v>
      </x:c>
      <x:c r="X22" s="303" t="str">
        <x:v>/private/tmp/osint-7Vd0k25d/cherry-images/199511200215267</x:v>
      </x:c>
      <x:c r="Y22" s="303" t="str">
        <x:v>/private/tmp/osint-7Vd0k25d/cherry-images/199511200215267/ocr</x:v>
      </x:c>
    </x:row>
    <x:row r="23" ht="66" customHeight="1">
      <x:c r="A23" s="303" t="str">
        <x:v>Cherry Bottom</x:v>
      </x:c>
      <x:c r="B23" s="315" t="str">
        <x:v>199605060113659</x:v>
      </x:c>
      <x:c r="C23" s="315" t="str">
        <x:v>124841036</x:v>
      </x:c>
      <x:c r="D23" s="312" t="str">
        <x:v>1996-05-06 (time not confidently legible)</x:v>
      </x:c>
      <x:c r="E23" s="312" t="str">
        <x:v>1996-04-15 (Cherry Bottom Properties, Inc.); 1996-04-25 (Luries)</x:v>
      </x:c>
      <x:c r="F23" s="303" t="str">
        <x:v>EASEMENT</x:v>
      </x:c>
      <x:c r="G23" s="303" t="str">
        <x:v>Cherry Bottom Properties, Inc.; Thomas H. Lurie; Nancy N. Lurie</x:v>
      </x:c>
      <x:c r="H23" s="303" t="str">
        <x:v>The Ohio Bell Telephone Company, its successors and assigns</x:v>
      </x:c>
      <x:c r="I23" s="303" t="str">
        <x:v>Cherry Bottom Properties, Inc. and the Luries execute as direct co-grantors of the utility easement. No successor-by-merger recital.</x:v>
      </x:c>
      <x:c r="J23" s="303" t="str">
        <x:v>Document face: $1 and other good and valuable consideration; Recorder/index tax or amount: Transfer-exempt / no conveyance tax stated</x:v>
      </x:c>
      <x:c r="K23" s="303" t="str">
        <x:v>Jeffrey J. Smith, Secretary, Cherry Bottom Properties, Inc.; Thomas H. Lurie; Nancy N. Lurie</x:v>
      </x:c>
      <x:c r="L23" s="303" t="str">
        <x:v>Amy K. Rice (Cherry Bottom Properties, Inc.); Robert R. Ouellette (Luries)</x:v>
      </x:c>
      <x:c r="M23" s="303" t="str">
        <x:v>Exhibit prepared by ADC Information Technologies; easement form prepared for Ohio Bell/Ameritech</x:v>
      </x:c>
      <x:c r="N23" s="303" t="str">
        <x:v>Cherry Bottom Properties, Inc., 5906 East Dublin-Granville Road, New Albany, Ohio 43054</x:v>
      </x:c>
      <x:c r="O23" s="303" t="str">
        <x:v>Underground communications easement, 10 feet by 520 feet, across parts of Lots 3 and 4, Cherry Bottom Commerce Park; acreage/area: Approximately 0.119 (10 feet by 520 feet)</x:v>
      </x:c>
      <x:c r="P23" s="303" t="str">
        <x:v>None stated</x:v>
      </x:c>
      <x:c r="Q23" s="315" t="str">
        <x:v>Prior: OR 11253J11; OR 16658J11; next/marginal: None stated</x:v>
      </x:c>
      <x:c r="R23" s="303" t="str">
        <x:v>No lender or loan amount. Recording time is too faint to report confidently.</x:v>
      </x:c>
      <x:c r="S23" s="303" t="str">
        <x:v>https://franklin.oh.publicsearch.us/doc/124841036?department=RP</x:v>
      </x:c>
      <x:c r="T23" s="309" t="str">
        <x:v>4</x:v>
      </x:c>
      <x:c r="U23" s="303" t="str">
        <x:v>OCR completed for every page.</x:v>
      </x:c>
      <x:c r="V23" s="303" t="str">
        <x:v>Visual pp. 1-2 and exhibit p. 4; legal p. 3; OCR pp. 1-4</x:v>
      </x:c>
      <x:c r="W23" s="303" t="str">
        <x:v>Primary recorder images; all pages reviewed through OCR and the cited pages visually checked (visual_primary_plus_ocr).</x:v>
      </x:c>
      <x:c r="X23" s="303" t="str">
        <x:v>/private/tmp/osint-7Vd0k25d/cherry-images/199605060113659</x:v>
      </x:c>
      <x:c r="Y23" s="303" t="str">
        <x:v>/private/tmp/osint-7Vd0k25d/cherry-images/199605060113659/ocr</x:v>
      </x:c>
    </x:row>
    <x:row r="24" ht="66" customHeight="1">
      <x:c r="A24" s="303" t="str">
        <x:v>Cherry Bottom</x:v>
      </x:c>
      <x:c r="B24" s="315" t="str">
        <x:v>199610250217314</x:v>
      </x:c>
      <x:c r="C24" s="315" t="str">
        <x:v>124964778</x:v>
      </x:c>
      <x:c r="D24" s="312" t="str">
        <x:v>1996-10-25 11:12</x:v>
      </x:c>
      <x:c r="E24" s="312" t="str">
        <x:v>1996-10-18 (effective); 1996-10-23 (Developer acknowledgments)</x:v>
      </x:c>
      <x:c r="F24" s="303" t="str">
        <x:v>CROSS EASEMENT AND MAINTENANCE AGREEMENT</x:v>
      </x:c>
      <x:c r="G24" s="303" t="str">
        <x:v>Thomas H. Lurie; Nancy N. Lurie; Cherry Bottom Properties, Inc., collectively Developer</x:v>
      </x:c>
      <x:c r="H24" s="303" t="str">
        <x:v>Animal Care Centers of America II, Ltd., an Ohio limited liability company; reciprocal benefits also run to Developer</x:v>
      </x:c>
      <x:c r="I24" s="303" t="str">
        <x:v>Cherry Bottom Properties, Inc. and the Luries are collectively defined as Developer; Animal Care is the reciprocal counterparty. No successor-by-merger recital.</x:v>
      </x:c>
      <x:c r="J24" s="303" t="str">
        <x:v>Document face: Mutual good and valuable consideration; no monetary amount stated; Recorder/index tax or amount: Transfer-exempt</x:v>
      </x:c>
      <x:c r="K24" s="303" t="str">
        <x:v>Jeffrey J. Smith, Secretary, Cherry Bottom Properties, Inc.; Thomas H. Lurie; Nancy N. Lurie; C. R. Beckett, Member, Animal Care Centers of America II, Ltd.</x:v>
      </x:c>
      <x:c r="L24" s="303" t="str">
        <x:v>David J. Martin</x:v>
      </x:c>
      <x:c r="M24" s="303" t="str">
        <x:v>Not stated</x:v>
      </x:c>
      <x:c r="N24" s="303" t="str">
        <x:v>Developer c/o The New Albany Co., 5609 East Dublin Granville Road, New Albany, Ohio 43054; ACCA, P.O. Box 1005, Findlay, Ohio 45839</x:v>
      </x:c>
      <x:c r="O24" s="303" t="str">
        <x:v>Developer Parcel A, 2.214 acres in Lot 1; ACCA Parcel B, 2.412 acres in Lots 1 and 2; reciprocal 0.039-acre access strips; ACCA constructs and maintains drive, costs split 50/50; acreage/area: 2.214; 2.412; two access strips of 0.039</x:v>
      </x:c>
      <x:c r="P24" s="303" t="str">
        <x:v>None stated</x:v>
      </x:c>
      <x:c r="Q24" s="315" t="str">
        <x:v>Prior: Plat Book 76, page 49; OR 24539C13 referenced in Parcel A legal; next/marginal: 199610250217315 (companion deed recorded immediately afterward)</x:v>
      </x:c>
      <x:c r="R24" s="303" t="str">
        <x:v>Face visually confirms effective date October 18, 1996; OCR incorrectly read the year as 1993. Index has party-name errors; face identifies Nancy N. Lurie and Animal Care Centers of America II, Ltd.</x:v>
      </x:c>
      <x:c r="S24" s="303" t="str">
        <x:v>https://franklin.oh.publicsearch.us/doc/124964778?department=RP</x:v>
      </x:c>
      <x:c r="T24" s="309" t="str">
        <x:v>12</x:v>
      </x:c>
      <x:c r="U24" s="303" t="str">
        <x:v>OCR completed for every page.</x:v>
      </x:c>
      <x:c r="V24" s="303" t="str">
        <x:v>Visual pp. 1, 5-8, 10-11; all 12 pages OCRed</x:v>
      </x:c>
      <x:c r="W24" s="303" t="str">
        <x:v>Primary recorder images; all pages reviewed through OCR and the cited pages visually checked (visual_primary_plus_ocr).</x:v>
      </x:c>
      <x:c r="X24" s="303" t="str">
        <x:v>/private/tmp/osint-7Vd0k25d/cherry-images/199610250217314</x:v>
      </x:c>
      <x:c r="Y24" s="303" t="str">
        <x:v>/private/tmp/osint-7Vd0k25d/cherry-images/199610250217314/ocr</x:v>
      </x:c>
    </x:row>
    <x:row r="25" ht="66" customHeight="1">
      <x:c r="A25" s="303" t="str">
        <x:v>Cherry Bottom</x:v>
      </x:c>
      <x:c r="B25" s="315" t="str">
        <x:v>199610250217315</x:v>
      </x:c>
      <x:c r="C25" s="315" t="str">
        <x:v>124964704</x:v>
      </x:c>
      <x:c r="D25" s="312" t="str">
        <x:v>1996-10-25 11:13</x:v>
      </x:c>
      <x:c r="E25" s="312" t="n">
        <x:v>35361.5</x:v>
      </x:c>
      <x:c r="F25" s="303" t="str">
        <x:v>GENERAL WARRANTY DEED</x:v>
      </x:c>
      <x:c r="G25" s="303" t="str">
        <x:v>Cherry Bottom Properties, Inc.; Thomas H. Lurie; Nancy N. Lurie</x:v>
      </x:c>
      <x:c r="H25" s="303" t="str">
        <x:v>Animal Care Centers of America II, Ltd., an Ohio limited liability company</x:v>
      </x:c>
      <x:c r="I25" s="303" t="str">
        <x:v>Cherry Bottom Properties, Inc. and the Luries execute as direct co-grantors. No successor-by-merger recital.</x:v>
      </x:c>
      <x:c r="J25" s="303" t="str">
        <x:v>Document face: $10 and other good and valuable consideration; Recorder/index tax or amount: $238 conveyance tax/index amount</x:v>
      </x:c>
      <x:c r="K25" s="303" t="str">
        <x:v>Jeffrey J. Smith, Secretary, Cherry Bottom Properties, Inc.; Thomas H. Lurie; Nancy N. Lurie</x:v>
      </x:c>
      <x:c r="L25" s="303" t="str">
        <x:v>David J. Martin</x:v>
      </x:c>
      <x:c r="M25" s="303" t="str">
        <x:v>Prepared under the direction of Cherry Bottom Properties, Inc., 5906 East Dublin-Granville Road, New Albany, Ohio 43054</x:v>
      </x:c>
      <x:c r="N25" s="303" t="str">
        <x:v>Tax bills to Animal Care Centers of America II, Ltd., P.O. Box 1005, Findlay, Ohio 45839</x:v>
      </x:c>
      <x:c r="O25" s="303" t="str">
        <x:v>Parts of Lots 1 and 2, Cherry Bottom Commerce Park; acreage/area: 2.412</x:v>
      </x:c>
      <x:c r="P25" s="303" t="str">
        <x:v>None stated</x:v>
      </x:c>
      <x:c r="Q25" s="315" t="str">
        <x:v>Prior: OR 16658J11; OR 11253J11; next/marginal: 199610250217314 (companion cross-easement agreement recorded immediately before)</x:v>
      </x:c>
      <x:c r="R25" s="303" t="str">
        <x:v>$10 is deed consideration; $238 is recorder/index conveyance tax.</x:v>
      </x:c>
      <x:c r="S25" s="303" t="str">
        <x:v>https://franklin.oh.publicsearch.us/doc/124964704?department=RP</x:v>
      </x:c>
      <x:c r="T25" s="309" t="str">
        <x:v>3</x:v>
      </x:c>
      <x:c r="U25" s="303" t="str">
        <x:v>OCR completed for every page.</x:v>
      </x:c>
      <x:c r="V25" s="303" t="str">
        <x:v>Visual pp. 1-2; legal p. 3; OCR pp. 1-3</x:v>
      </x:c>
      <x:c r="W25" s="303" t="str">
        <x:v>Primary recorder images; all pages reviewed through OCR and the cited pages visually checked (visual_primary_plus_ocr).</x:v>
      </x:c>
      <x:c r="X25" s="303" t="str">
        <x:v>/private/tmp/osint-7Vd0k25d/cherry-images/199610250217315</x:v>
      </x:c>
      <x:c r="Y25" s="303" t="str">
        <x:v>/private/tmp/osint-7Vd0k25d/cherry-images/199610250217315/ocr</x:v>
      </x:c>
    </x:row>
    <x:row r="26" ht="66" customHeight="1">
      <x:c r="A26" s="303" t="str">
        <x:v>Cherry Bottom</x:v>
      </x:c>
      <x:c r="B26" s="315" t="str">
        <x:v>199701230024896</x:v>
      </x:c>
      <x:c r="C26" s="315" t="str">
        <x:v>125020914</x:v>
      </x:c>
      <x:c r="D26" s="312" t="str">
        <x:v>1997-01-23 14:15</x:v>
      </x:c>
      <x:c r="E26" s="312" t="str">
        <x:v>1997-01-23 (face); 1997-01-21 acknowledgments</x:v>
      </x:c>
      <x:c r="F26" s="303" t="str">
        <x:v>GENERAL WARRANTY DEED</x:v>
      </x:c>
      <x:c r="G26" s="303" t="str">
        <x:v>Cherry Bottom Properties, Inc.; Thomas H. Lurie; Nancy N. Lurie</x:v>
      </x:c>
      <x:c r="H26" s="303" t="str">
        <x:v>Germain Properties of Columbus, Inc., an Ohio corporation</x:v>
      </x:c>
      <x:c r="I26" s="303" t="str">
        <x:v>Cherry Bottom Properties, Inc. and the Luries execute as direct co-grantors; Leslie H. Wexner signs for the corporation as President. No successor-by-merger recital.</x:v>
      </x:c>
      <x:c r="J26" s="303" t="str">
        <x:v>Document face: $10 and other good and valuable consideration; Recorder/index tax or amount: $1,164 conveyance tax/index amount</x:v>
      </x:c>
      <x:c r="K26" s="303" t="str">
        <x:v>Leslie H. Wexner, President, Cherry Bottom Properties, Inc.; Thomas H. Lurie; Nancy N. Lurie</x:v>
      </x:c>
      <x:c r="L26" s="303" t="str">
        <x:v>Georgene A. Feather (Wexner/Cherry Bottom Properties, Inc.); Meta J. Stokes (Luries)</x:v>
      </x:c>
      <x:c r="M26" s="303" t="str">
        <x:v>Prepared under the direction of Cherry Bottom Properties, Inc., 5906 East Dublin-Granville Road, New Albany, Ohio 43054</x:v>
      </x:c>
      <x:c r="N26" s="303" t="str">
        <x:v>Tax bills to Germain Properties of Columbus, Inc., 5777 Scarborough Boulevard, Columbus, Ohio 43232</x:v>
      </x:c>
      <x:c r="O26" s="303" t="str">
        <x:v>6.302-acre tract in the City of Columbus, subject to restrictions in Exhibit B; acreage/area: 6.302</x:v>
      </x:c>
      <x:c r="P26" s="303" t="str">
        <x:v>600-168453</x:v>
      </x:c>
      <x:c r="Q26" s="315" t="str">
        <x:v>Prior: OR 16658J11; OR 11253J16; next/marginal: None stated</x:v>
      </x:c>
      <x:c r="R26" s="303" t="str">
        <x:v>Page 1 visibly reads “By: Leslie H. Wexner” and “Its: President.” Index misspells Germain as “GERMAIIN.” $10 is deed consideration; $1,164 is recorder/index conveyance tax.</x:v>
      </x:c>
      <x:c r="S26" s="303" t="str">
        <x:v>https://franklin.oh.publicsearch.us/doc/125020914?department=RP</x:v>
      </x:c>
      <x:c r="T26" s="309" t="str">
        <x:v>5</x:v>
      </x:c>
      <x:c r="U26" s="303" t="str">
        <x:v>OCR completed for every page.</x:v>
      </x:c>
      <x:c r="V26" s="303" t="str">
        <x:v>Visual pp. 1-2; legal/restrictions pp. 3-5; OCR pp. 1-5</x:v>
      </x:c>
      <x:c r="W26" s="303" t="str">
        <x:v>Primary recorder images; all pages reviewed through OCR and the cited pages visually checked (visual_primary_plus_ocr).</x:v>
      </x:c>
      <x:c r="X26" s="303" t="str">
        <x:v>/private/tmp/osint-7Vd0k25d/cherry-images/199701230024896</x:v>
      </x:c>
      <x:c r="Y26" s="303" t="str">
        <x:v>/private/tmp/osint-7Vd0k25d/cherry-images/199701230024896/ocr</x:v>
      </x:c>
    </x:row>
    <x:row r="27" ht="66" customHeight="1">
      <x:c r="A27" s="303" t="str">
        <x:v>Cherry Bottom</x:v>
      </x:c>
      <x:c r="B27" s="315" t="str">
        <x:v>199705290010107</x:v>
      </x:c>
      <x:c r="C27" s="315" t="str">
        <x:v>125110593</x:v>
      </x:c>
      <x:c r="D27" s="312" t="str">
        <x:v>1997-05-29 13:47</x:v>
      </x:c>
      <x:c r="E27" s="312" t="n">
        <x:v>35572.5</x:v>
      </x:c>
      <x:c r="F27" s="303" t="str">
        <x:v>GENERAL WARRANTY DEED</x:v>
      </x:c>
      <x:c r="G27" s="303" t="str">
        <x:v>Cherry Bottom Properties, Inc.; Thomas H. Lurie; Nancy N. Lurie</x:v>
      </x:c>
      <x:c r="H27" s="303" t="str">
        <x:v>Cherry Way Partners, LLC, an Ohio limited liability company</x:v>
      </x:c>
      <x:c r="I27" s="303" t="str">
        <x:v>Cherry Bottom Properties, Inc. and the Luries execute as direct co-grantors; Leslie H. Wexner signs for the corporation as President. No successor-by-merger recital.</x:v>
      </x:c>
      <x:c r="J27" s="303" t="str">
        <x:v>Document face: $10 and other good and valuable consideration; Recorder/index tax or amount: $183 conveyance tax/index amount</x:v>
      </x:c>
      <x:c r="K27" s="303" t="str">
        <x:v>Leslie H. Wexner, President, Cherry Bottom Properties, Inc.; Thomas H. Lurie; Nancy N. Lurie</x:v>
      </x:c>
      <x:c r="L27" s="303" t="str">
        <x:v>Lauren Vagt</x:v>
      </x:c>
      <x:c r="M27" s="303" t="str">
        <x:v>Prepared under the direction of Cherry Bottom Properties, Inc., 5906 East Dublin-Granville Road, New Albany, Ohio 43054</x:v>
      </x:c>
      <x:c r="N27" s="303" t="str">
        <x:v>Tax bills to Cherry Way Partners, LLC, 1001 Eastwind Drive, Suite 102, Westerville, Ohio 43081</x:v>
      </x:c>
      <x:c r="O27" s="303" t="str">
        <x:v>Parts of Lots 1 and 2, Cherry Bottom Commerce Park; survey notes adjacent HER, Inc. 2.241-acre tract in OR 28956J09; acreage/area: 2.295</x:v>
      </x:c>
      <x:c r="P27" s="303" t="str">
        <x:v>None stated</x:v>
      </x:c>
      <x:c r="Q27" s="315" t="str">
        <x:v>Prior: OR 16658J11; OR 11253J11; next/marginal: None stated</x:v>
      </x:c>
      <x:c r="R27" s="303" t="str">
        <x:v>Page 1 visibly reads “By: Leslie H. Wexner” and “Its: President.” $10 is deed consideration; $183 is recorder/index conveyance tax.</x:v>
      </x:c>
      <x:c r="S27" s="303" t="str">
        <x:v>https://franklin.oh.publicsearch.us/doc/125110593?department=RP</x:v>
      </x:c>
      <x:c r="T27" s="309" t="str">
        <x:v>4</x:v>
      </x:c>
      <x:c r="U27" s="303" t="str">
        <x:v>OCR completed for every page.</x:v>
      </x:c>
      <x:c r="V27" s="303" t="str">
        <x:v>Visual pp. 1-2; legal/survey pp. 3-4; OCR pp. 1-4</x:v>
      </x:c>
      <x:c r="W27" s="303" t="str">
        <x:v>Primary recorder images; all pages reviewed through OCR and the cited pages visually checked (visual_primary_plus_ocr).</x:v>
      </x:c>
      <x:c r="X27" s="303" t="str">
        <x:v>/private/tmp/osint-7Vd0k25d/cherry-images/199705290010107</x:v>
      </x:c>
      <x:c r="Y27" s="303" t="str">
        <x:v>/private/tmp/osint-7Vd0k25d/cherry-images/199705290010107/ocr</x:v>
      </x:c>
    </x:row>
    <x:row r="28" ht="66" customHeight="1">
      <x:c r="A28" s="303" t="str">
        <x:v>Cherry Bottom</x:v>
      </x:c>
      <x:c r="B28" s="315" t="str">
        <x:v>199708130069608</x:v>
      </x:c>
      <x:c r="C28" s="315" t="str">
        <x:v>125168462</x:v>
      </x:c>
      <x:c r="D28" s="312" t="str">
        <x:v>1997-08-13 09:15</x:v>
      </x:c>
      <x:c r="E28" s="312" t="str">
        <x:v>1997-08-07 (Cherry Bottom Properties, Inc.); 1997-08-06 (Luries acknowledged)</x:v>
      </x:c>
      <x:c r="F28" s="303" t="str">
        <x:v>GENERAL WARRANTY DEED</x:v>
      </x:c>
      <x:c r="G28" s="303" t="str">
        <x:v>Cherry Bottom Properties, Inc.; Thomas H. Lurie; Nancy N. Lurie</x:v>
      </x:c>
      <x:c r="H28" s="303" t="str">
        <x:v>M.J.B. Joint Venture, an Ohio general partnership</x:v>
      </x:c>
      <x:c r="I28" s="303" t="str">
        <x:v>Cherry Bottom Properties, Inc. and the Luries execute as direct co-grantors; Leslie H. Wexner signs for the corporation as President. No successor-by-merger recital.</x:v>
      </x:c>
      <x:c r="J28" s="303" t="str">
        <x:v>Document face: $10 and other good and valuable consideration; Recorder/index tax or amount: $450 conveyance tax/index amount</x:v>
      </x:c>
      <x:c r="K28" s="303" t="str">
        <x:v>Leslie H. Wexner, President, Cherry Bottom Properties, Inc.; Thomas H. Lurie; Nancy N. Lurie</x:v>
      </x:c>
      <x:c r="L28" s="303" t="str">
        <x:v>Kathryn A. Reed (Wexner/Cherry Bottom Properties, Inc.); Lauren Vagt (Luries)</x:v>
      </x:c>
      <x:c r="M28" s="303" t="str">
        <x:v>Prepared under the direction of Cherry Bottom Properties, Inc., 5906 East Dublin-Granville Road, New Albany, Ohio 43054</x:v>
      </x:c>
      <x:c r="N28" s="303" t="str">
        <x:v>Tax bills to M.J.B. Joint Venture, 3945 Business Park Drive, Columbus, Ohio 43204</x:v>
      </x:c>
      <x:c r="O28" s="303" t="str">
        <x:v>Parts of Lots 3 and 4, Cherry Bottom Commerce Park; acreage/area: 1.619</x:v>
      </x:c>
      <x:c r="P28" s="303" t="str">
        <x:v>025-010028; 025-010029</x:v>
      </x:c>
      <x:c r="Q28" s="315" t="str">
        <x:v>Prior: OR 16658J11; OR 11253J11; next/marginal: None stated</x:v>
      </x:c>
      <x:c r="R28" s="303" t="str">
        <x:v>Page 1 visibly reads “By: Leslie H. Wexner” and “Its: President.” $10 is deed consideration; $450 is recorder/index conveyance tax.</x:v>
      </x:c>
      <x:c r="S28" s="303" t="str">
        <x:v>https://franklin.oh.publicsearch.us/doc/125168462?department=RP</x:v>
      </x:c>
      <x:c r="T28" s="309" t="str">
        <x:v>5</x:v>
      </x:c>
      <x:c r="U28" s="303" t="str">
        <x:v>OCR completed for every page.</x:v>
      </x:c>
      <x:c r="V28" s="303" t="str">
        <x:v>Visual pp. 1-2; legal/survey pp. 3-5; OCR pp. 1-5</x:v>
      </x:c>
      <x:c r="W28" s="303" t="str">
        <x:v>Primary recorder images; all pages reviewed through OCR and the cited pages visually checked (visual_primary_plus_ocr).</x:v>
      </x:c>
      <x:c r="X28" s="303" t="str">
        <x:v>/private/tmp/osint-7Vd0k25d/cherry-images/199708130069608</x:v>
      </x:c>
      <x:c r="Y28" s="303" t="str">
        <x:v>/private/tmp/osint-7Vd0k25d/cherry-images/199708130069608/ocr</x:v>
      </x:c>
    </x:row>
    <x:row r="29" ht="66" customHeight="1">
      <x:c r="A29" s="303" t="str">
        <x:v>Cherry Bottom</x:v>
      </x:c>
      <x:c r="B29" s="315" t="str">
        <x:v>199803200064851</x:v>
      </x:c>
      <x:c r="C29" s="315" t="str">
        <x:v>125339540</x:v>
      </x:c>
      <x:c r="D29" s="312" t="str">
        <x:v>1998-03-20 14:27</x:v>
      </x:c>
      <x:c r="E29" s="312" t="str">
        <x:v>1998-03-20 (face); 1998-03-13 (Wexner acknowledgment); 1998-03-18 (Luries acknowledgment)</x:v>
      </x:c>
      <x:c r="F29" s="303" t="str">
        <x:v>GENERAL WARRANTY DEED</x:v>
      </x:c>
      <x:c r="G29" s="303" t="str">
        <x:v>Cherry Bottom Properties, Inc.; Thomas H. Lurie; Nancy N. Lurie</x:v>
      </x:c>
      <x:c r="H29" s="303" t="str">
        <x:v>KinderCare Real Estate Corp., a wholly owned subsidiary of KinderCare Learning Centers, Inc.</x:v>
      </x:c>
      <x:c r="I29" s="303" t="str">
        <x:v>Cherry Bottom Properties, Inc. and the Luries execute as direct co-grantors; Leslie H. Wexner signs for the corporation as President. No successor-by-merger recital.</x:v>
      </x:c>
      <x:c r="J29" s="303" t="str">
        <x:v>Document face: $10 and other good and valuable consideration; Recorder/index tax or amount: $354 conveyance tax/index amount</x:v>
      </x:c>
      <x:c r="K29" s="303" t="str">
        <x:v>Leslie H. Wexner, President, Cherry Bottom Properties, Inc.; Thomas H. Lurie; Nancy N. Lurie</x:v>
      </x:c>
      <x:c r="L29" s="303" t="str">
        <x:v>Suzanne E. Conners (Wexner/Cherry Bottom Properties, Inc.); Lauren Vagt (Luries)</x:v>
      </x:c>
      <x:c r="M29" s="303" t="str">
        <x:v>D. Michael Schira, Esq., Vorys, Sater, Seymour and Pease LLP, 52 East Gay Street, Columbus, Ohio 43215; legal prepared by Kevin L. Baxter, P.S. 7697, C.F. Bird &amp; R.J. Bull</x:v>
      </x:c>
      <x:c r="N29" s="303" t="str">
        <x:v>Tax bills to KinderCare Real Estate Corp., 650 NE Holladay, Suite 1400, Portland, Oregon 97232</x:v>
      </x:c>
      <x:c r="O29" s="303" t="str">
        <x:v>Lot 1, Cherry Bottom Commerce Park; acreage/area: 2.214</x:v>
      </x:c>
      <x:c r="P29" s="303" t="str">
        <x:v>025-10026</x:v>
      </x:c>
      <x:c r="Q29" s="315" t="str">
        <x:v>Prior: OR 16658J11; OR 11253J11; next/marginal: None stated</x:v>
      </x:c>
      <x:c r="R29" s="303" t="str">
        <x:v>Page 2 visibly reads “By: Leslie H. Wexner” and “Its: President.” $10 is deed consideration; $354 is recorder/index conveyance tax.</x:v>
      </x:c>
      <x:c r="S29" s="303" t="str">
        <x:v>https://franklin.oh.publicsearch.us/doc/125339540?department=RP</x:v>
      </x:c>
      <x:c r="T29" s="309" t="str">
        <x:v>3</x:v>
      </x:c>
      <x:c r="U29" s="303" t="str">
        <x:v>OCR completed for every page.</x:v>
      </x:c>
      <x:c r="V29" s="303" t="str">
        <x:v>Visual pp. 1-2; legal p. 3; OCR pp. 1-3</x:v>
      </x:c>
      <x:c r="W29" s="303" t="str">
        <x:v>Primary recorder images; all pages reviewed through OCR and the cited pages visually checked (visual_primary_plus_ocr).</x:v>
      </x:c>
      <x:c r="X29" s="303" t="str">
        <x:v>/private/tmp/osint-7Vd0k25d/cherry-images/199803200064851</x:v>
      </x:c>
      <x:c r="Y29" s="303" t="str">
        <x:v>/private/tmp/osint-7Vd0k25d/cherry-images/199803200064851/ocr</x:v>
      </x:c>
    </x:row>
    <x:row r="30" ht="66" customHeight="1">
      <x:c r="A30" s="303" t="str">
        <x:v>Park Properties</x:v>
      </x:c>
      <x:c r="B30" s="315" t="str">
        <x:v>Park Properties, Inc.</x:v>
      </x:c>
      <x:c r="C30" s="315" t="str">
        <x:v>True corporate instrument; operative open-end mortgage/security agreement (F-03)</x:v>
      </x:c>
      <x:c r="D30" s="312" t="str">
        <x:v>Five Columbus tracts: Lots 333-334 Northwood Heights (PB 2, pp. 121/270); Lot 2 plus 10 feet of Lot 1, Block 25, Indianola Summit (PB 5, p. 140); Lot 27, Block 1, Indianola Summit; Lot 35, Dennison Summit (PB 6, p. 15-A); Lot 4, Block 19, Indianola Summit</x:v>
      </x:c>
      <x:c r="E30" s="312" t="n">
        <x:v>30697.5</x:v>
      </x:c>
      <x:c r="F30" s="303" t="str">
        <x:v>1984-02-03</x:v>
      </x:c>
      <x:c r="G30" s="303" t="str">
        <x:v>198402030051783</x:v>
      </x:c>
      <x:c r="H30" s="303" t="str">
        <x:v>Open-End Mortgage and Security Agreement (MO)</x:v>
      </x:c>
      <x:c r="I30" s="303" t="str">
        <x:v>Dean W. Fried, unmarried</x:v>
      </x:c>
      <x:c r="J30" s="303" t="str">
        <x:v>Park Properties, Inc., Ohio corporation</x:v>
      </x:c>
      <x:c r="K30" s="303" t="str">
        <x:v>Good and valuable consideration; official index displays $5,000,000.00</x:v>
      </x:c>
      <x:c r="L30" s="303" t="str">
        <x:v>Not applicable; mortgage, no conveyance-tax stamp</x:v>
      </x:c>
      <x:c r="M30" s="303" t="str">
        <x:v>Park Properties, Inc.</x:v>
      </x:c>
      <x:c r="N30" s="303" t="str">
        <x:v>One C.H. Development Group loan up to $5,000,000; Fried guaranty 23%; maximum unpaid indebtedness secured by this mortgage $1,150,000</x:v>
      </x:c>
      <x:c r="O30" s="303" t="str">
        <x:v>Dean W. Fried, mortgagor</x:v>
      </x:c>
      <x:c r="P30" s="303" t="str">
        <x:v>Jack S. Levey, Esq., 250 East Broad Street, Columbus, Ohio 43215</x:v>
      </x:c>
      <x:c r="Q30" s="315" t="str">
        <x:v>Schwartz, Shapiro, Kelm &amp; Warren, 250 East Broad Street, Columbus, Ohio 43215</x:v>
      </x:c>
      <x:c r="R30" s="303" t="str">
        <x:v>Sandra L. [surname handwritten and not reliably legible]</x:v>
      </x:c>
      <x:c r="S30" s="303" t="str">
        <x:v>Last-transfer references: DR 3663/255; 3526/755; 3476/806; 3455/426; 3479/633</x:v>
      </x:c>
      <x:c r="T30" s="309" t="str">
        <x:v>198512170169361; 198703060079777; 199002200063673; portal also marginally links 199608290027759</x:v>
      </x:c>
      <x:c r="U30" s="303" t="str">
        <x:v>5</x:v>
      </x:c>
      <x:c r="V30" s="303" t="str">
        <x:v>129763175</x:v>
      </x:c>
      <x:c r="W30" s="303" t="str">
        <x:v>https://franklin.oh.publicsearch.us/doc/129763175?department=RP</x:v>
      </x:c>
      <x:c r="X30" s="303" t="str">
        <x:v>Official detail/index plus five public page images; OCR all pages; material pages visually inspected</x:v>
      </x:c>
      <x:c r="Y30" s="303" t="str">
        <x:v>Park is mortgagee/general partner, not record owner of these parcels. Instrument also grants a UCC security interest in Fried personal property/fixtures. Do not treat the portal's $5 million index amount as a separate debt for each duplicate record.</x:v>
      </x:c>
    </x:row>
    <x:row r="31" ht="66" customHeight="1">
      <x:c r="A31" s="303" t="str">
        <x:v>Park Properties</x:v>
      </x:c>
      <x:c r="B31" s="315" t="str">
        <x:v>Park Properties, Inc.</x:v>
      </x:c>
      <x:c r="C31" s="315" t="str">
        <x:v>True corporate instrument; erroneous duplicate recording (F-08)</x:v>
      </x:c>
      <x:c r="D31" s="312" t="str">
        <x:v>Same five Columbus tracts as F-03</x:v>
      </x:c>
      <x:c r="E31" s="312" t="n">
        <x:v>30697.5</x:v>
      </x:c>
      <x:c r="F31" s="303" t="str">
        <x:v>1984-02-03</x:v>
      </x:c>
      <x:c r="G31" s="303" t="str">
        <x:v>198402030051784</x:v>
      </x:c>
      <x:c r="H31" s="303" t="str">
        <x:v>Open-End Mortgage and Security Agreement (MO)</x:v>
      </x:c>
      <x:c r="I31" s="303" t="str">
        <x:v>Dean W. Fried, unmarried</x:v>
      </x:c>
      <x:c r="J31" s="303" t="str">
        <x:v>Park Properties, Inc., Ohio corporation</x:v>
      </x:c>
      <x:c r="K31" s="303" t="str">
        <x:v>Good and valuable consideration; official index displays $5,000,000.00</x:v>
      </x:c>
      <x:c r="L31" s="303" t="str">
        <x:v>Not applicable; mortgage, no conveyance-tax stamp</x:v>
      </x:c>
      <x:c r="M31" s="303" t="str">
        <x:v>Park Properties, Inc.</x:v>
      </x:c>
      <x:c r="N31" s="303" t="str">
        <x:v>Same single C.H. Development Group debt as F-03; Fried guaranty 23%; maximum secured $1,150,000</x:v>
      </x:c>
      <x:c r="O31" s="303" t="str">
        <x:v>Dean W. Fried, mortgagor</x:v>
      </x:c>
      <x:c r="P31" s="303" t="str">
        <x:v>Jack S. Levey, Esq., 250 East Broad Street, Columbus, Ohio 43215</x:v>
      </x:c>
      <x:c r="Q31" s="315" t="str">
        <x:v>Schwartz, Shapiro, Kelm &amp; Warren, 250 East Broad Street, Columbus, Ohio 43215</x:v>
      </x:c>
      <x:c r="R31" s="303" t="str">
        <x:v>Sandra L. [surname handwritten and not reliably legible]</x:v>
      </x:c>
      <x:c r="S31" s="303" t="str">
        <x:v>198402030051783 (same debt/property)</x:v>
      </x:c>
      <x:c r="T31" s="309" t="str">
        <x:v>198512170169360; 198601070053215; 198601070053216; portal also marginally links 199309080030754</x:v>
      </x:c>
      <x:c r="U31" s="303" t="str">
        <x:v>5</x:v>
      </x:c>
      <x:c r="V31" s="303" t="str">
        <x:v>129763177</x:v>
      </x:c>
      <x:c r="W31" s="303" t="str">
        <x:v>https://franklin.oh.publicsearch.us/doc/129763177?department=RP</x:v>
      </x:c>
      <x:c r="X31" s="303" t="str">
        <x:v>Official detail/index plus five public page images; OCR all pages; material pages visually inspected</x:v>
      </x:c>
      <x:c r="Y31" s="303" t="str">
        <x:v>The 1985/1986 satisfaction images expressly say F-08 was recorded through recording-officer inadvertence. It is not a second $5 million loan.</x:v>
      </x:c>
    </x:row>
    <x:row r="32" ht="66" customHeight="1">
      <x:c r="A32" s="303" t="str">
        <x:v>Park Properties</x:v>
      </x:c>
      <x:c r="B32" s="315" t="str">
        <x:v>Park Properties, Inc.</x:v>
      </x:c>
      <x:c r="C32" s="315" t="str">
        <x:v>True corporate instrument; erroneous duplicate recording (F-13)</x:v>
      </x:c>
      <x:c r="D32" s="312" t="str">
        <x:v>Same five Columbus tracts as F-03</x:v>
      </x:c>
      <x:c r="E32" s="312" t="n">
        <x:v>30697.5</x:v>
      </x:c>
      <x:c r="F32" s="303" t="str">
        <x:v>1984-02-03</x:v>
      </x:c>
      <x:c r="G32" s="303" t="str">
        <x:v>198402030051785</x:v>
      </x:c>
      <x:c r="H32" s="303" t="str">
        <x:v>Open-End Mortgage and Security Agreement (MO)</x:v>
      </x:c>
      <x:c r="I32" s="303" t="str">
        <x:v>Dean W. Fried, unmarried</x:v>
      </x:c>
      <x:c r="J32" s="303" t="str">
        <x:v>Park Properties, Inc., Ohio corporation</x:v>
      </x:c>
      <x:c r="K32" s="303" t="str">
        <x:v>Good and valuable consideration; official index displays $5,000,000.00</x:v>
      </x:c>
      <x:c r="L32" s="303" t="str">
        <x:v>Not applicable; mortgage, no conveyance-tax stamp</x:v>
      </x:c>
      <x:c r="M32" s="303" t="str">
        <x:v>Park Properties, Inc.</x:v>
      </x:c>
      <x:c r="N32" s="303" t="str">
        <x:v>Same single C.H. Development Group debt as F-03; Fried guaranty 23%; maximum secured $1,150,000</x:v>
      </x:c>
      <x:c r="O32" s="303" t="str">
        <x:v>Dean W. Fried, mortgagor</x:v>
      </x:c>
      <x:c r="P32" s="303" t="str">
        <x:v>Jack S. Levey, Esq., 250 East Broad Street, Columbus, Ohio 43215</x:v>
      </x:c>
      <x:c r="Q32" s="315" t="str">
        <x:v>Schwartz, Shapiro, Kelm &amp; Warren, 250 East Broad Street, Columbus, Ohio 43215</x:v>
      </x:c>
      <x:c r="R32" s="303" t="str">
        <x:v>Sandra L. [surname handwritten and not reliably legible]</x:v>
      </x:c>
      <x:c r="S32" s="303" t="str">
        <x:v>198402030051783 (same debt/property)</x:v>
      </x:c>
      <x:c r="T32" s="309" t="str">
        <x:v>198512170169359; 198601070053215; 198601070053216</x:v>
      </x:c>
      <x:c r="U32" s="303" t="str">
        <x:v>5</x:v>
      </x:c>
      <x:c r="V32" s="303" t="str">
        <x:v>129763178</x:v>
      </x:c>
      <x:c r="W32" s="303" t="str">
        <x:v>https://franklin.oh.publicsearch.us/doc/129763178?department=RP</x:v>
      </x:c>
      <x:c r="X32" s="303" t="str">
        <x:v>Official detail/index plus five public page images; OCR all pages; material pages visually inspected</x:v>
      </x:c>
      <x:c r="Y32" s="303" t="str">
        <x:v>The 1985/1986 satisfaction images expressly say F-13 was recorded through recording-officer inadvertence. It is not a third $5 million loan.</x:v>
      </x:c>
    </x:row>
    <x:row r="33" ht="66" customHeight="1">
      <x:c r="A33" s="303" t="str">
        <x:v>Park Properties</x:v>
      </x:c>
      <x:c r="B33" s="315" t="str">
        <x:v>Park Properties, Inc. / C.H. Development Group</x:v>
      </x:c>
      <x:c r="C33" s="315" t="str">
        <x:v>True corporate instrument; original general-partnership certificate</x:v>
      </x:c>
      <x:c r="D33" s="312" t="str">
        <x:v>No real-property parcel; partnership certificate</x:v>
      </x:c>
      <x:c r="E33" s="312" t="str">
        <x:v>1985-01-03 (Park/H&amp;L acknowledgments; DFW 1985-01-02; J.D. Indiana 1984-12-14; partnership formed 1984-01-16)</x:v>
      </x:c>
      <x:c r="F33" s="303" t="str">
        <x:v>1985-01-11</x:v>
      </x:c>
      <x:c r="G33" s="303" t="str">
        <x:v>198501110052868</x:v>
      </x:c>
      <x:c r="H33" s="303" t="str">
        <x:v>Partnership certificate (PT)</x:v>
      </x:c>
      <x:c r="I33" s="303" t="str">
        <x:v>C.H. Development Group</x:v>
      </x:c>
      <x:c r="J33" s="303" t="str">
        <x:v>Park Properties, Inc. (indexed grantee/general partner)</x:v>
      </x:c>
      <x:c r="K33" s="303" t="str">
        <x:v>None stated</x:v>
      </x:c>
      <x:c r="L33" s="303" t="str">
        <x:v>Not applicable</x:v>
      </x:c>
      <x:c r="M33" s="303" t="str">
        <x:v>None stated</x:v>
      </x:c>
      <x:c r="N33" s="303" t="str">
        <x:v>No debt amount; identifies four corporate general partners</x:v>
      </x:c>
      <x:c r="O33" s="303" t="str">
        <x:v>Park: Harold L. Levin, Vice-President; H&amp;L: Harold L. Levin, President; DFW: Dean W. Fried, President; J.D. Indiana: James S. Duberstein, President</x:v>
      </x:c>
      <x:c r="P33" s="303" t="str">
        <x:v>Not stated</x:v>
      </x:c>
      <x:c r="Q33" s="315" t="str">
        <x:v>Mail/return to Schwartz, Shapiro, Kelm &amp; Warren, 250 East Broad Street, Columbus, Ohio 43215; attention handwriting unclear</x:v>
      </x:c>
      <x:c r="R33" s="303" t="str">
        <x:v>Park/H&amp;L: Victoria A. [surname/stamp not reliably legible]; DFW: Betty Burton; J.D. Indiana acknowledgment appears Janice Wright</x:v>
      </x:c>
      <x:c r="S33" s="303" t="str">
        <x:v>Partnership formed 1984-01-16</x:v>
      </x:c>
      <x:c r="T33" s="309" t="str">
        <x:v>198511040153633</x:v>
      </x:c>
      <x:c r="U33" s="303" t="str">
        <x:v>3</x:v>
      </x:c>
      <x:c r="V33" s="303" t="str">
        <x:v>129875487</x:v>
      </x:c>
      <x:c r="W33" s="303" t="str">
        <x:v>https://franklin.oh.publicsearch.us/doc/129875487?department=RP</x:v>
      </x:c>
      <x:c r="X33" s="303" t="str">
        <x:v>Official detail/index plus three public page images; OCR all pages; all pages visually inspected</x:v>
      </x:c>
      <x:c r="Y33" s="303" t="str">
        <x:v>Park is expressly one general partner, with Levin signing by board order in Park's capacity as general partner. No Dorothy Snow, Leslie Wexner, Jeffrey Epstein, merger, parcel, or successor appears.</x:v>
      </x:c>
    </x:row>
    <x:row r="34" ht="66" customHeight="1">
      <x:c r="A34" s="303" t="str">
        <x:v>Park Properties</x:v>
      </x:c>
      <x:c r="B34" s="315" t="str">
        <x:v>Park Properties, Inc. / C.H. Development Group</x:v>
      </x:c>
      <x:c r="C34" s="315" t="str">
        <x:v>True corporate instrument; amended partnership certificate changing partner addresses</x:v>
      </x:c>
      <x:c r="D34" s="312" t="str">
        <x:v>No real-property parcel; address amendment only</x:v>
      </x:c>
      <x:c r="E34" s="312" t="n">
        <x:v>31351.5</x:v>
      </x:c>
      <x:c r="F34" s="303" t="str">
        <x:v>1985-11-04</x:v>
      </x:c>
      <x:c r="G34" s="303" t="str">
        <x:v>198511040153633</x:v>
      </x:c>
      <x:c r="H34" s="303" t="str">
        <x:v>Amended partnership certificate (PT)</x:v>
      </x:c>
      <x:c r="I34" s="303" t="str">
        <x:v>C.H. Development Group</x:v>
      </x:c>
      <x:c r="J34" s="303" t="str">
        <x:v>Park Properties, Inc. (indexed grantee/general partner)</x:v>
      </x:c>
      <x:c r="K34" s="303" t="str">
        <x:v>None stated</x:v>
      </x:c>
      <x:c r="L34" s="303" t="str">
        <x:v>Not applicable</x:v>
      </x:c>
      <x:c r="M34" s="303" t="str">
        <x:v>None stated</x:v>
      </x:c>
      <x:c r="N34" s="303" t="str">
        <x:v>No debt amount; no ownership or partner substitution stated</x:v>
      </x:c>
      <x:c r="O34" s="303" t="str">
        <x:v>Park: Harold L. Levin, Vice President; H&amp;L: Harold L. Levin, President; J.D. Indiana: James S. Duberstein, President; DFW: Dean W. Fried, President</x:v>
      </x:c>
      <x:c r="P34" s="303" t="str">
        <x:v>Not stated</x:v>
      </x:c>
      <x:c r="Q34" s="315" t="str">
        <x:v>Mail to Denise Roman, Esq. [surname visually appears Roman], Schwartz, Kelm, Warren &amp; Rubenstein, 23rd Floor, 41 South High Street, Columbus, Ohio 43215</x:v>
      </x:c>
      <x:c r="R34" s="303" t="str">
        <x:v>No notary block visible on the one-page image</x:v>
      </x:c>
      <x:c r="S34" s="303" t="str">
        <x:v>198501110052868</x:v>
      </x:c>
      <x:c r="T34" s="309" t="str">
        <x:v>None identified</x:v>
      </x:c>
      <x:c r="U34" s="303" t="str">
        <x:v>1</x:v>
      </x:c>
      <x:c r="V34" s="303" t="str">
        <x:v>129976478</x:v>
      </x:c>
      <x:c r="W34" s="303" t="str">
        <x:v>https://franklin.oh.publicsearch.us/doc/129976478?department=RP</x:v>
      </x:c>
      <x:c r="X34" s="303" t="str">
        <x:v>Official detail/index plus one public page image; OCR and visual inspection</x:v>
      </x:c>
      <x:c r="Y34" s="303" t="str">
        <x:v>Amendment only corrects residences: Park to 41 South High Street, Suite 3710; H&amp;L to 320 North Parkview Avenue; J.D. Indiana to 131 North Ludlow Street, Suite 1313; DFW remains 2549 Indianola Avenue. It is not a merger or successor filing.</x:v>
      </x:c>
    </x:row>
    <x:row r="35" ht="66" customHeight="1">
      <x:c r="A35" s="303" t="str">
        <x:v>Park Properties</x:v>
      </x:c>
      <x:c r="B35" s="315" t="str">
        <x:v>Park Properties, Inc.</x:v>
      </x:c>
      <x:c r="C35" s="315" t="str">
        <x:v>True corporate instrument; partial release against erroneous F-13 duplicate</x:v>
      </x:c>
      <x:c r="D35" s="312" t="str">
        <x:v>Lot 35, Anne E. Dennison's Subdivision / Dennison Summit Addition (PB 6, p. 15-A)</x:v>
      </x:c>
      <x:c r="E35" s="312" t="n">
        <x:v>31392.5</x:v>
      </x:c>
      <x:c r="F35" s="303" t="str">
        <x:v>1985-12-17</x:v>
      </x:c>
      <x:c r="G35" s="303" t="str">
        <x:v>198512170169359</x:v>
      </x:c>
      <x:c r="H35" s="303" t="str">
        <x:v>Partial Release of Mortgage (PRMO)</x:v>
      </x:c>
      <x:c r="I35" s="303" t="str">
        <x:v>Dean W. Fried (underlying mortgagor; indexed grantor)</x:v>
      </x:c>
      <x:c r="J35" s="303" t="str">
        <x:v>Park Properties, Inc. (mortgagee/releasor; indexed grantee)</x:v>
      </x:c>
      <x:c r="K35" s="303" t="str">
        <x:v>Valuable consideration; amount unstated</x:v>
      </x:c>
      <x:c r="L35" s="303" t="str">
        <x:v>Not applicable; mortgage release</x:v>
      </x:c>
      <x:c r="M35" s="303" t="str">
        <x:v>Park Properties, Inc.</x:v>
      </x:c>
      <x:c r="N35" s="303" t="str">
        <x:v>Partial release; amount unstated; lien preserved on residue</x:v>
      </x:c>
      <x:c r="O35" s="303" t="str">
        <x:v>Harold L. Levin, Vice President</x:v>
      </x:c>
      <x:c r="P35" s="303" t="str">
        <x:v>Richard W. Rubenstein, Esq., 41 South High Street, Columbus, Ohio 43215</x:v>
      </x:c>
      <x:c r="Q35" s="315" t="str">
        <x:v>No separate return block visible; prepared-by address above</x:v>
      </x:c>
      <x:c r="R35" s="303" t="str">
        <x:v>Patricia A. McGhee; commission expires 1990-03-05</x:v>
      </x:c>
      <x:c r="S35" s="303" t="str">
        <x:v>198402030051785 (F-13)</x:v>
      </x:c>
      <x:c r="T35" s="309" t="str">
        <x:v>198601070053215; 198601070053216</x:v>
      </x:c>
      <x:c r="U35" s="303" t="str">
        <x:v>1</x:v>
      </x:c>
      <x:c r="V35" s="303" t="str">
        <x:v>129992402</x:v>
      </x:c>
      <x:c r="W35" s="303" t="str">
        <x:v>https://franklin.oh.publicsearch.us/doc/129992402?department=RP</x:v>
      </x:c>
      <x:c r="X35" s="303" t="str">
        <x:v>Official detail/index plus one public page image; OCR and visual inspection</x:v>
      </x:c>
      <x:c r="Y35" s="303" t="str">
        <x:v>Substantively redundant because F-13 itself was an erroneous duplicate later discharged.</x:v>
      </x:c>
    </x:row>
    <x:row r="36" ht="66" customHeight="1">
      <x:c r="A36" s="303" t="str">
        <x:v>Park Properties</x:v>
      </x:c>
      <x:c r="B36" s="315" t="str">
        <x:v>Park Properties, Inc.</x:v>
      </x:c>
      <x:c r="C36" s="315" t="str">
        <x:v>True corporate instrument; partial release against erroneous F-08 duplicate</x:v>
      </x:c>
      <x:c r="D36" s="312" t="str">
        <x:v>Lot 35, Anne E. Dennison's Subdivision / Dennison Summit Addition (PB 6, p. 15-A)</x:v>
      </x:c>
      <x:c r="E36" s="312" t="n">
        <x:v>31392.5</x:v>
      </x:c>
      <x:c r="F36" s="303" t="str">
        <x:v>1985-12-17</x:v>
      </x:c>
      <x:c r="G36" s="303" t="str">
        <x:v>198512170169360</x:v>
      </x:c>
      <x:c r="H36" s="303" t="str">
        <x:v>Partial Release of Mortgage (PRMO)</x:v>
      </x:c>
      <x:c r="I36" s="303" t="str">
        <x:v>Dean W. Fried (underlying mortgagor; indexed grantor)</x:v>
      </x:c>
      <x:c r="J36" s="303" t="str">
        <x:v>Park Properties, Inc. (mortgagee/releasor; indexed grantee)</x:v>
      </x:c>
      <x:c r="K36" s="303" t="str">
        <x:v>Valuable consideration; amount unstated</x:v>
      </x:c>
      <x:c r="L36" s="303" t="str">
        <x:v>Not applicable; mortgage release</x:v>
      </x:c>
      <x:c r="M36" s="303" t="str">
        <x:v>Park Properties, Inc.</x:v>
      </x:c>
      <x:c r="N36" s="303" t="str">
        <x:v>Partial release; amount unstated; lien preserved on residue</x:v>
      </x:c>
      <x:c r="O36" s="303" t="str">
        <x:v>Harold L. Levin, Vice President</x:v>
      </x:c>
      <x:c r="P36" s="303" t="str">
        <x:v>Richard W. Rubenstein, Esq., 41 South High Street, Columbus, Ohio 43215</x:v>
      </x:c>
      <x:c r="Q36" s="315" t="str">
        <x:v>No separate return block visible; prepared-by address above</x:v>
      </x:c>
      <x:c r="R36" s="303" t="str">
        <x:v>Patricia A. McGhee; commission expires 1990-03-05</x:v>
      </x:c>
      <x:c r="S36" s="303" t="str">
        <x:v>198402030051784 (F-08)</x:v>
      </x:c>
      <x:c r="T36" s="309" t="str">
        <x:v>198601070053215; 198601070053216; portal also marginally links 199309080030754</x:v>
      </x:c>
      <x:c r="U36" s="303" t="str">
        <x:v>1</x:v>
      </x:c>
      <x:c r="V36" s="303" t="str">
        <x:v>129992399</x:v>
      </x:c>
      <x:c r="W36" s="303" t="str">
        <x:v>https://franklin.oh.publicsearch.us/doc/129992399?department=RP</x:v>
      </x:c>
      <x:c r="X36" s="303" t="str">
        <x:v>Official detail/index plus one public page image; OCR and visual inspection</x:v>
      </x:c>
      <x:c r="Y36" s="303" t="str">
        <x:v>Substantively redundant because F-08 itself was an erroneous duplicate later discharged.</x:v>
      </x:c>
    </x:row>
    <x:row r="37" ht="66" customHeight="1">
      <x:c r="A37" s="303" t="str">
        <x:v>Park Properties</x:v>
      </x:c>
      <x:c r="B37" s="315" t="str">
        <x:v>Park Properties, Inc.</x:v>
      </x:c>
      <x:c r="C37" s="315" t="str">
        <x:v>True corporate instrument; operative partial release against F-03</x:v>
      </x:c>
      <x:c r="D37" s="312" t="str">
        <x:v>Lot 35, Anne E. Dennison's Subdivision / Dennison Summit Addition (PB 6, p. 15-A)</x:v>
      </x:c>
      <x:c r="E37" s="312" t="n">
        <x:v>31392.5</x:v>
      </x:c>
      <x:c r="F37" s="303" t="str">
        <x:v>1985-12-17</x:v>
      </x:c>
      <x:c r="G37" s="303" t="str">
        <x:v>198512170169361</x:v>
      </x:c>
      <x:c r="H37" s="303" t="str">
        <x:v>Partial Release of Mortgage (PRMO)</x:v>
      </x:c>
      <x:c r="I37" s="303" t="str">
        <x:v>Dean W. Fried (underlying mortgagor; indexed grantor)</x:v>
      </x:c>
      <x:c r="J37" s="303" t="str">
        <x:v>Park Properties, Inc. (mortgagee/releasor; indexed grantee)</x:v>
      </x:c>
      <x:c r="K37" s="303" t="str">
        <x:v>Valuable consideration; amount unstated</x:v>
      </x:c>
      <x:c r="L37" s="303" t="str">
        <x:v>Not applicable; mortgage release</x:v>
      </x:c>
      <x:c r="M37" s="303" t="str">
        <x:v>Park Properties, Inc.</x:v>
      </x:c>
      <x:c r="N37" s="303" t="str">
        <x:v>Partial release; amount unstated; lien preserved on residue</x:v>
      </x:c>
      <x:c r="O37" s="303" t="str">
        <x:v>Harold L. Levin, Vice President</x:v>
      </x:c>
      <x:c r="P37" s="303" t="str">
        <x:v>Richard W. Rubenstein, Esq., 41 South High Street, Columbus, Ohio 43215</x:v>
      </x:c>
      <x:c r="Q37" s="315" t="str">
        <x:v>No separate return block visible; prepared-by address above</x:v>
      </x:c>
      <x:c r="R37" s="303" t="str">
        <x:v>Patricia A. McGhee; commission expires 1990-03-05</x:v>
      </x:c>
      <x:c r="S37" s="303" t="str">
        <x:v>198402030051783 (F-03)</x:v>
      </x:c>
      <x:c r="T37" s="309" t="str">
        <x:v>198703060079777; 199002200063673; portal also marginally links 199309080030750</x:v>
      </x:c>
      <x:c r="U37" s="303" t="str">
        <x:v>1</x:v>
      </x:c>
      <x:c r="V37" s="303" t="str">
        <x:v>129992397</x:v>
      </x:c>
      <x:c r="W37" s="303" t="str">
        <x:v>https://franklin.oh.publicsearch.us/doc/129992397?department=RP</x:v>
      </x:c>
      <x:c r="X37" s="303" t="str">
        <x:v>Official detail/index plus one public page image; OCR and visual inspection</x:v>
      </x:c>
      <x:c r="Y37" s="303" t="str">
        <x:v>This is the meaningful Lot 35 release because F-03 was the operative mortgage; the lien was expressly preserved on the remaining property.</x:v>
      </x:c>
    </x:row>
    <x:row r="38" ht="66" customHeight="1">
      <x:c r="A38" s="303" t="str">
        <x:v>Park Properties</x:v>
      </x:c>
      <x:c r="B38" s="315" t="str">
        <x:v>Park Properties, Inc.</x:v>
      </x:c>
      <x:c r="C38" s="315" t="str">
        <x:v>True corporate instrument; first of two duplicate satisfactions discharging F-08 and F-13 recording errors</x:v>
      </x:c>
      <x:c r="D38" s="312" t="str">
        <x:v>Same five-tract collateral as F-03; portal index says NO LEGAL</x:v>
      </x:c>
      <x:c r="E38" s="312" t="n">
        <x:v>31412.5</x:v>
      </x:c>
      <x:c r="F38" s="303" t="str">
        <x:v>1986-01-07</x:v>
      </x:c>
      <x:c r="G38" s="303" t="str">
        <x:v>198601070053215</x:v>
      </x:c>
      <x:c r="H38" s="303" t="str">
        <x:v>Satisfaction of Mortgages / Release of Mortgage (REMO)</x:v>
      </x:c>
      <x:c r="I38" s="303" t="str">
        <x:v>Dean W. Fried (underlying mortgagor; indexed grantor)</x:v>
      </x:c>
      <x:c r="J38" s="303" t="str">
        <x:v>Park Properties, Inc. (mortgagee/certifying party; indexed grantee)</x:v>
      </x:c>
      <x:c r="K38" s="303" t="str">
        <x:v>None stated</x:v>
      </x:c>
      <x:c r="L38" s="303" t="str">
        <x:v>Not applicable; mortgage release</x:v>
      </x:c>
      <x:c r="M38" s="303" t="str">
        <x:v>Park Properties, Inc.</x:v>
      </x:c>
      <x:c r="N38" s="303" t="str">
        <x:v>Discharges F-08 and F-13 as erroneous duplicates; expressly does not diminish F-03</x:v>
      </x:c>
      <x:c r="O38" s="303" t="str">
        <x:v>Harold L. Levin, Vice President</x:v>
      </x:c>
      <x:c r="P38" s="303" t="str">
        <x:v>Richard W. Rubenstein, Esq.</x:v>
      </x:c>
      <x:c r="Q38" s="315" t="str">
        <x:v>Record and return to Schwartz, Kelm, Warren &amp; Rubenstein, 41 South High Street, Columbus, Ohio 43215; file 1223-C-1</x:v>
      </x:c>
      <x:c r="R38" s="303" t="str">
        <x:v>Patricia A. McGhee; acknowledgment 1985-12-31; commission expires 1990-03-05</x:v>
      </x:c>
      <x:c r="S38" s="303" t="str">
        <x:v>198402030051784; 198402030051785</x:v>
      </x:c>
      <x:c r="T38" s="309" t="str">
        <x:v>199309080030754 (portal marginal reference only)</x:v>
      </x:c>
      <x:c r="U38" s="303" t="str">
        <x:v>1</x:v>
      </x:c>
      <x:c r="V38" s="303" t="str">
        <x:v>129998974</x:v>
      </x:c>
      <x:c r="W38" s="303" t="str">
        <x:v>https://franklin.oh.publicsearch.us/doc/129998974?department=RP</x:v>
      </x:c>
      <x:c r="X38" s="303" t="str">
        <x:v>Official detail/index plus one public page image; OCR and visual inspection</x:v>
      </x:c>
      <x:c r="Y38" s="303" t="str">
        <x:v>Image says F-08/F-13 secure the same debt/property as F-03 and were recorded through recording-officer inadvertence. This is not a release of F-03.</x:v>
      </x:c>
    </x:row>
    <x:row r="39" ht="66" customHeight="1">
      <x:c r="A39" s="303" t="str">
        <x:v>Park Properties</x:v>
      </x:c>
      <x:c r="B39" s="315" t="str">
        <x:v>Park Properties, Inc.</x:v>
      </x:c>
      <x:c r="C39" s="315" t="str">
        <x:v>True corporate instrument; second, substantively identical satisfaction discharging F-08 and F-13 recording errors</x:v>
      </x:c>
      <x:c r="D39" s="312" t="str">
        <x:v>Same five-tract collateral as F-03; portal index says NO LEGAL</x:v>
      </x:c>
      <x:c r="E39" s="312" t="n">
        <x:v>31412.5</x:v>
      </x:c>
      <x:c r="F39" s="303" t="str">
        <x:v>1986-01-07</x:v>
      </x:c>
      <x:c r="G39" s="303" t="str">
        <x:v>198601070053216</x:v>
      </x:c>
      <x:c r="H39" s="303" t="str">
        <x:v>Satisfaction of Mortgages / Release of Mortgage (REMO)</x:v>
      </x:c>
      <x:c r="I39" s="303" t="str">
        <x:v>Dean W. Fried (underlying mortgagor; indexed grantor)</x:v>
      </x:c>
      <x:c r="J39" s="303" t="str">
        <x:v>Park Properties, Inc. (mortgagee/certifying party; indexed grantee)</x:v>
      </x:c>
      <x:c r="K39" s="303" t="str">
        <x:v>None stated</x:v>
      </x:c>
      <x:c r="L39" s="303" t="str">
        <x:v>Not applicable; mortgage release</x:v>
      </x:c>
      <x:c r="M39" s="303" t="str">
        <x:v>Park Properties, Inc.</x:v>
      </x:c>
      <x:c r="N39" s="303" t="str">
        <x:v>Discharges F-08 and F-13 as erroneous duplicates; expressly does not diminish F-03</x:v>
      </x:c>
      <x:c r="O39" s="303" t="str">
        <x:v>Harold L. Levin, Vice President</x:v>
      </x:c>
      <x:c r="P39" s="303" t="str">
        <x:v>Richard W. Rubenstein, Esq.</x:v>
      </x:c>
      <x:c r="Q39" s="315" t="str">
        <x:v>Record and return to Schwartz, Kelm, Warren &amp; Rubenstein, 41 South High Street, Columbus, Ohio 43215; file 1223-C-1</x:v>
      </x:c>
      <x:c r="R39" s="303" t="str">
        <x:v>Patricia A. McGhee; acknowledgment 1985-12-31; commission expires 1990-03-05</x:v>
      </x:c>
      <x:c r="S39" s="303" t="str">
        <x:v>198402030051784; 198402030051785</x:v>
      </x:c>
      <x:c r="T39" s="309" t="str">
        <x:v>199309080030754 (portal marginal reference only)</x:v>
      </x:c>
      <x:c r="U39" s="303" t="str">
        <x:v>1</x:v>
      </x:c>
      <x:c r="V39" s="303" t="str">
        <x:v>129998989</x:v>
      </x:c>
      <x:c r="W39" s="303" t="str">
        <x:v>https://franklin.oh.publicsearch.us/doc/129998989?department=RP</x:v>
      </x:c>
      <x:c r="X39" s="303" t="str">
        <x:v>Official detail/index plus one public page image; OCR and visual inspection</x:v>
      </x:c>
      <x:c r="Y39" s="303" t="str">
        <x:v>This second recorder copy is substantively identical to 198601070053215; it is not a separate debt event and does not release F-03.</x:v>
      </x:c>
    </x:row>
    <x:row r="40" ht="66" customHeight="1">
      <x:c r="A40" s="303" t="str">
        <x:v>Park Properties</x:v>
      </x:c>
      <x:c r="B40" s="315" t="str">
        <x:v>Park Properties, Inc.</x:v>
      </x:c>
      <x:c r="C40" s="315" t="str">
        <x:v>True corporate instrument; operative partial release against F-03</x:v>
      </x:c>
      <x:c r="D40" s="312" t="str">
        <x:v>Lot 27, Block 1, Indianola Summit Addition (PB 5, p. 140)</x:v>
      </x:c>
      <x:c r="E40" s="312" t="n">
        <x:v>31834.5</x:v>
      </x:c>
      <x:c r="F40" s="303" t="str">
        <x:v>1987-03-06</x:v>
      </x:c>
      <x:c r="G40" s="303" t="str">
        <x:v>198703060079777</x:v>
      </x:c>
      <x:c r="H40" s="303" t="str">
        <x:v>Partial Release of Mortgage (PRMO)</x:v>
      </x:c>
      <x:c r="I40" s="303" t="str">
        <x:v>Dean W. Fried (underlying mortgagor; indexed grantor)</x:v>
      </x:c>
      <x:c r="J40" s="303" t="str">
        <x:v>Park Properties, Inc. (mortgagee/releasor; indexed grantee)</x:v>
      </x:c>
      <x:c r="K40" s="303" t="str">
        <x:v>Valuable consideration; amount unstated</x:v>
      </x:c>
      <x:c r="L40" s="303" t="str">
        <x:v>Not applicable; mortgage release</x:v>
      </x:c>
      <x:c r="M40" s="303" t="str">
        <x:v>Park Properties, Inc.</x:v>
      </x:c>
      <x:c r="N40" s="303" t="str">
        <x:v>Partial release; amount unstated; lien preserved on residue</x:v>
      </x:c>
      <x:c r="O40" s="303" t="str">
        <x:v>Harold L. Levin, Vice President</x:v>
      </x:c>
      <x:c r="P40" s="303" t="str">
        <x:v>Richard W. Rubenstein, Esq., 41 South High Street, Columbus, Ohio 43215; file 1223-C-1</x:v>
      </x:c>
      <x:c r="Q40" s="315" t="str">
        <x:v>No separate return block visible</x:v>
      </x:c>
      <x:c r="R40" s="303" t="str">
        <x:v>Patricia A. McGhee; commission expires 1990-03-05</x:v>
      </x:c>
      <x:c r="S40" s="303" t="str">
        <x:v>198402030051783 (F-03)</x:v>
      </x:c>
      <x:c r="T40" s="309" t="str">
        <x:v>199002200063673; portal also marginally links 199309080030750</x:v>
      </x:c>
      <x:c r="U40" s="303" t="str">
        <x:v>2</x:v>
      </x:c>
      <x:c r="V40" s="303" t="str">
        <x:v>130185249</x:v>
      </x:c>
      <x:c r="W40" s="303" t="str">
        <x:v>https://franklin.oh.publicsearch.us/doc/130185249?department=RP</x:v>
      </x:c>
      <x:c r="X40" s="303" t="str">
        <x:v>Official detail/index plus two public page images; OCR both; both visually inspected (page 2 is recorder-stamp/back page)</x:v>
      </x:c>
      <x:c r="Y40" s="303" t="str">
        <x:v>Releases only Lot 27 and preserves the F-03 lien on the residue.</x:v>
      </x:c>
    </x:row>
    <x:row r="41" ht="66" customHeight="1">
      <x:c r="A41" s="303" t="str">
        <x:v>Park Properties</x:v>
      </x:c>
      <x:c r="B41" s="315" t="str">
        <x:v>Park Properties, Inc.</x:v>
      </x:c>
      <x:c r="C41" s="315" t="str">
        <x:v>True corporate instrument; final satisfaction/discharge of operative F-03 mortgage</x:v>
      </x:c>
      <x:c r="D41" s="312" t="str">
        <x:v>All five original Columbus tracts reproduced in Exhibit A, including the two previously partially released lots</x:v>
      </x:c>
      <x:c r="E41" s="312" t="str">
        <x:v>1989-03-22 (handwritten correction over typed month; image faint)</x:v>
      </x:c>
      <x:c r="F41" s="303" t="str">
        <x:v>1990-02-20</x:v>
      </x:c>
      <x:c r="G41" s="303" t="str">
        <x:v>199002200063673</x:v>
      </x:c>
      <x:c r="H41" s="303" t="str">
        <x:v>Satisfaction of Mortgage / Release of Mortgage (REMO)</x:v>
      </x:c>
      <x:c r="I41" s="303" t="str">
        <x:v>Dean W. Fried (underlying mortgagor; indexed grantor)</x:v>
      </x:c>
      <x:c r="J41" s="303" t="str">
        <x:v>Park Properties, Inc. (mortgagee/certifying party; indexed grantee)</x:v>
      </x:c>
      <x:c r="K41" s="303" t="str">
        <x:v>None stated</x:v>
      </x:c>
      <x:c r="L41" s="303" t="str">
        <x:v>Not applicable; mortgage release</x:v>
      </x:c>
      <x:c r="M41" s="303" t="str">
        <x:v>Park Properties, Inc.</x:v>
      </x:c>
      <x:c r="N41" s="303" t="str">
        <x:v>F-03 mortgage fully paid and satisfied; full recorder discharge authorized</x:v>
      </x:c>
      <x:c r="O41" s="303" t="str">
        <x:v>Harold L. Levin; title handwriting appears Executive Vice President</x:v>
      </x:c>
      <x:c r="P41" s="303" t="str">
        <x:v>Steven G. Gentry, Esq., Schwartz, Kelm, Warren &amp; Rubenstein, 41 South High Street, 23rd Floor, Columbus, Ohio 43215</x:v>
      </x:c>
      <x:c r="Q41" s="315" t="str">
        <x:v>Mail to Dean Fried, Roxbury Road, Columbus, Ohio 43212; street number handwritten and unclear</x:v>
      </x:c>
      <x:c r="R41" s="303" t="str">
        <x:v>Patricia A. McGhee [signature/name faint but consistent with prior family instruments]</x:v>
      </x:c>
      <x:c r="S41" s="303" t="str">
        <x:v>198402030051783; 198512170169361; 198703060079777</x:v>
      </x:c>
      <x:c r="T41" s="309" t="str">
        <x:v>Portal marginally links 199309080030750</x:v>
      </x:c>
      <x:c r="U41" s="303" t="str">
        <x:v>2</x:v>
      </x:c>
      <x:c r="V41" s="303" t="str">
        <x:v>123408777</x:v>
      </x:c>
      <x:c r="W41" s="303" t="str">
        <x:v>https://franklin.oh.publicsearch.us/doc/123408777?department=RP</x:v>
      </x:c>
      <x:c r="X41" s="303" t="str">
        <x:v>Official detail/index plus two public page images; OCR both; both visually inspected</x:v>
      </x:c>
      <x:c r="Y41" s="303" t="str">
        <x:v>The first clause says paid/satisfied 'as to the real property,' followed by authorization to discharge the mortgage. Real-property lien is closed before Park's 1992 dissolution. Separate UCC/fixture termination cannot be proved from this image alone.</x:v>
      </x:c>
    </x:row>
    <x:row r="42" ht="66" customHeight="1">
      <x:c r="A42" s="303" t="str">
        <x:v>Park Properties</x:v>
      </x:c>
      <x:c r="B42" s="315" t="str">
        <x:v>Brungarth financing-statement chain (Park linkage unproven)</x:v>
      </x:c>
      <x:c r="C42" s="315" t="str">
        <x:v>Portal-only related instrument reached through a later marginal reference; Park is not indexed</x:v>
      </x:c>
      <x:c r="D42" s="312" t="str">
        <x:v>No legal description in official detail; remark/address: 5336 London Groveport Road, Orient, Ohio</x:v>
      </x:c>
      <x:c r="E42" s="312" t="str">
        <x:v>Unknown; no public image</x:v>
      </x:c>
      <x:c r="F42" s="303" t="str">
        <x:v>1992-12-29</x:v>
      </x:c>
      <x:c r="G42" s="303" t="str">
        <x:v>199212290043190</x:v>
      </x:c>
      <x:c r="H42" s="303" t="str">
        <x:v>Financing Statement (FS)</x:v>
      </x:c>
      <x:c r="I42" s="303" t="str">
        <x:v>Richard Brungarth; Mary Brungarth</x:v>
      </x:c>
      <x:c r="J42" s="303" t="str">
        <x:v>No secured party indexed</x:v>
      </x:c>
      <x:c r="K42" s="303" t="str">
        <x:v>None stated</x:v>
      </x:c>
      <x:c r="L42" s="303" t="str">
        <x:v>Not applicable; UCC filing</x:v>
      </x:c>
      <x:c r="M42" s="303" t="str">
        <x:v>Unknown; no secured party indexed</x:v>
      </x:c>
      <x:c r="N42" s="303" t="str">
        <x:v>Unknown; public image unavailable</x:v>
      </x:c>
      <x:c r="O42" s="303" t="str">
        <x:v>Unknown; public image unavailable</x:v>
      </x:c>
      <x:c r="P42" s="303" t="str">
        <x:v>Unknown; public image unavailable</x:v>
      </x:c>
      <x:c r="Q42" s="315" t="str">
        <x:v>5336 London Groveport Road, Orient, Ohio (official remark/address)</x:v>
      </x:c>
      <x:c r="R42" s="303" t="str">
        <x:v>Unknown; public image unavailable</x:v>
      </x:c>
      <x:c r="S42" s="303" t="str">
        <x:v>None shown</x:v>
      </x:c>
      <x:c r="T42" s="309" t="str">
        <x:v>199309080030754</x:v>
      </x:c>
      <x:c r="U42" s="303" t="str">
        <x:v>1</x:v>
      </x:c>
      <x:c r="V42" s="303" t="str">
        <x:v>123944604</x:v>
      </x:c>
      <x:c r="W42" s="303" t="str">
        <x:v>https://franklin.oh.publicsearch.us/doc/123944604?department=RP</x:v>
      </x:c>
      <x:c r="X42" s="303" t="str">
        <x:v>Official detail only; zero public page URLs and no OCR/image</x:v>
      </x:c>
      <x:c r="Y42" s="303" t="str">
        <x:v>Recorded seven days after Park's dissolution, but Park is neither an indexed party nor named in available text. The later release marginally links this filing to F-08/F-13 records; that metadata does not establish a Park lien, assignee, or successor.</x:v>
      </x:c>
    </x:row>
    <x:row r="43" ht="66" customHeight="1">
      <x:c r="A43" s="303" t="str">
        <x:v>Park Properties</x:v>
      </x:c>
      <x:c r="B43" s="315" t="str">
        <x:v>Cravener financing-statement chain (marginally linked to Park F-03)</x:v>
      </x:c>
      <x:c r="C43" s="315" t="str">
        <x:v>Portal-marginally linked UCC instrument; Park is not indexed; relationship unresolved</x:v>
      </x:c>
      <x:c r="D43" s="312" t="str">
        <x:v>No legal description in official detail; remark/address: 903 Rarig, Columbus, Ohio</x:v>
      </x:c>
      <x:c r="E43" s="312" t="str">
        <x:v>Unknown; no public image</x:v>
      </x:c>
      <x:c r="F43" s="303" t="str">
        <x:v>1993-09-08</x:v>
      </x:c>
      <x:c r="G43" s="303" t="str">
        <x:v>199309080030750</x:v>
      </x:c>
      <x:c r="H43" s="303" t="str">
        <x:v>Financing Statement (FS)</x:v>
      </x:c>
      <x:c r="I43" s="303" t="str">
        <x:v>Steven Cravener; Terri Cravener</x:v>
      </x:c>
      <x:c r="J43" s="303" t="str">
        <x:v>No secured party indexed</x:v>
      </x:c>
      <x:c r="K43" s="303" t="str">
        <x:v>None stated</x:v>
      </x:c>
      <x:c r="L43" s="303" t="str">
        <x:v>Not applicable; UCC filing</x:v>
      </x:c>
      <x:c r="M43" s="303" t="str">
        <x:v>Unknown; no secured party indexed</x:v>
      </x:c>
      <x:c r="N43" s="303" t="str">
        <x:v>Unknown; public image unavailable</x:v>
      </x:c>
      <x:c r="O43" s="303" t="str">
        <x:v>Unknown; public image unavailable</x:v>
      </x:c>
      <x:c r="P43" s="303" t="str">
        <x:v>Unknown; public image unavailable</x:v>
      </x:c>
      <x:c r="Q43" s="315" t="str">
        <x:v>903 Rarig, Columbus, Ohio (official remark/address)</x:v>
      </x:c>
      <x:c r="R43" s="303" t="str">
        <x:v>Unknown; public image unavailable</x:v>
      </x:c>
      <x:c r="S43" s="303" t="str">
        <x:v>Portal ties record volume to F-03 and marginally references 198512170169361; 198703060079777; 199002200063673</x:v>
      </x:c>
      <x:c r="T43" s="309" t="str">
        <x:v>199608290027759</x:v>
      </x:c>
      <x:c r="U43" s="303" t="str">
        <x:v>1</x:v>
      </x:c>
      <x:c r="V43" s="303" t="str">
        <x:v>124143557</x:v>
      </x:c>
      <x:c r="W43" s="303" t="str">
        <x:v>https://franklin.oh.publicsearch.us/doc/124143557?department=RP</x:v>
      </x:c>
      <x:c r="X43" s="303" t="str">
        <x:v>Official detail only; zero public page URLs and no OCR/image</x:v>
      </x:c>
      <x:c r="Y43" s="303" t="str">
        <x:v>The mutual marginal chain could reflect a UCC/fixture/title-cleanup relationship or migrated-index error. With no image and no Park party, it is not evidence of a post-dissolution Park act, assignee, merger survivor, or continuing lien.</x:v>
      </x:c>
    </x:row>
    <x:row r="44" ht="66" customHeight="1">
      <x:c r="A44" s="303" t="str">
        <x:v>Park Properties</x:v>
      </x:c>
      <x:c r="B44" s="315" t="str">
        <x:v>Brungarth release-of-financing-statement chain (Park linkage unproven)</x:v>
      </x:c>
      <x:c r="C44" s="315" t="str">
        <x:v>Portal-marginally linked UCC release; Park is not indexed; relationship unresolved</x:v>
      </x:c>
      <x:c r="D44" s="312" t="str">
        <x:v>No legal description in official detail; remark/address: 5336 London Groveport Road, Orient, Ohio</x:v>
      </x:c>
      <x:c r="E44" s="312" t="str">
        <x:v>Unknown; no public image</x:v>
      </x:c>
      <x:c r="F44" s="303" t="str">
        <x:v>1993-09-08</x:v>
      </x:c>
      <x:c r="G44" s="303" t="str">
        <x:v>199309080030754</x:v>
      </x:c>
      <x:c r="H44" s="303" t="str">
        <x:v>Release of Financing Statement (REFS)</x:v>
      </x:c>
      <x:c r="I44" s="303" t="str">
        <x:v>Richard Brungarth; Mary Brungarth</x:v>
      </x:c>
      <x:c r="J44" s="303" t="str">
        <x:v>No secured party/releasing party indexed</x:v>
      </x:c>
      <x:c r="K44" s="303" t="str">
        <x:v>None stated</x:v>
      </x:c>
      <x:c r="L44" s="303" t="str">
        <x:v>Not applicable; UCC release</x:v>
      </x:c>
      <x:c r="M44" s="303" t="str">
        <x:v>Unknown; no secured party indexed</x:v>
      </x:c>
      <x:c r="N44" s="303" t="str">
        <x:v>Unknown; public image unavailable</x:v>
      </x:c>
      <x:c r="O44" s="303" t="str">
        <x:v>Unknown; public image unavailable</x:v>
      </x:c>
      <x:c r="P44" s="303" t="str">
        <x:v>Unknown; public image unavailable</x:v>
      </x:c>
      <x:c r="Q44" s="315" t="str">
        <x:v>5336 London Groveport Road, Orient, Ohio (official remark/address)</x:v>
      </x:c>
      <x:c r="R44" s="303" t="str">
        <x:v>Unknown; public image unavailable</x:v>
      </x:c>
      <x:c r="S44" s="303" t="str">
        <x:v>199212290043190; portal also references 198512170169360; 198601070053215; 198601070053216</x:v>
      </x:c>
      <x:c r="T44" s="309" t="str">
        <x:v>None shown</x:v>
      </x:c>
      <x:c r="U44" s="303" t="str">
        <x:v>2</x:v>
      </x:c>
      <x:c r="V44" s="303" t="str">
        <x:v>124144144</x:v>
      </x:c>
      <x:c r="W44" s="303" t="str">
        <x:v>https://franklin.oh.publicsearch.us/doc/124144144?department=RP</x:v>
      </x:c>
      <x:c r="X44" s="303" t="str">
        <x:v>Official detail only; zero public page URLs and no OCR/image</x:v>
      </x:c>
      <x:c r="Y44" s="303" t="str">
        <x:v>The official marginal-reference list mixes the Brungarth FS with Park's erroneous F-08/F-13 correction family. No image or indexed Park party supports treating the Brungarth filing as a Park corporate instrument or successor transaction.</x:v>
      </x:c>
    </x:row>
    <x:row r="45" ht="66" customHeight="1">
      <x:c r="A45" s="303" t="str">
        <x:v>Park Properties</x:v>
      </x:c>
      <x:c r="B45" s="315" t="str">
        <x:v>Cravener release-of-financing-statement chain (marginally linked to Park F-03)</x:v>
      </x:c>
      <x:c r="C45" s="315" t="str">
        <x:v>Portal-marginally linked UCC release; Park is not indexed; relationship unresolved</x:v>
      </x:c>
      <x:c r="D45" s="312" t="str">
        <x:v>No legal description in official detail; remark/address: 903 Rarig [portal variant Rerig], Columbus, Ohio</x:v>
      </x:c>
      <x:c r="E45" s="312" t="str">
        <x:v>Unknown; no public image</x:v>
      </x:c>
      <x:c r="F45" s="303" t="str">
        <x:v>1996-08-29</x:v>
      </x:c>
      <x:c r="G45" s="303" t="str">
        <x:v>199608290027759</x:v>
      </x:c>
      <x:c r="H45" s="303" t="str">
        <x:v>Release of Financing Statement (REFS)</x:v>
      </x:c>
      <x:c r="I45" s="303" t="str">
        <x:v>Terri Cravener; Steven Cravener</x:v>
      </x:c>
      <x:c r="J45" s="303" t="str">
        <x:v>No secured party/releasing party indexed</x:v>
      </x:c>
      <x:c r="K45" s="303" t="str">
        <x:v>None stated</x:v>
      </x:c>
      <x:c r="L45" s="303" t="str">
        <x:v>Not applicable; UCC release</x:v>
      </x:c>
      <x:c r="M45" s="303" t="str">
        <x:v>Unknown; no secured party indexed</x:v>
      </x:c>
      <x:c r="N45" s="303" t="str">
        <x:v>Unknown; public image unavailable</x:v>
      </x:c>
      <x:c r="O45" s="303" t="str">
        <x:v>Unknown; public image unavailable</x:v>
      </x:c>
      <x:c r="P45" s="303" t="str">
        <x:v>Unknown; public image unavailable</x:v>
      </x:c>
      <x:c r="Q45" s="315" t="str">
        <x:v>903 Rarig/Rerig, Columbus, Ohio (official remark/address)</x:v>
      </x:c>
      <x:c r="R45" s="303" t="str">
        <x:v>Unknown; public image unavailable</x:v>
      </x:c>
      <x:c r="S45" s="303" t="str">
        <x:v>198402030051783; 199309080030750</x:v>
      </x:c>
      <x:c r="T45" s="309" t="str">
        <x:v>None shown</x:v>
      </x:c>
      <x:c r="U45" s="303" t="str">
        <x:v>1</x:v>
      </x:c>
      <x:c r="V45" s="303" t="str">
        <x:v>124925912</x:v>
      </x:c>
      <x:c r="W45" s="303" t="str">
        <x:v>https://franklin.oh.publicsearch.us/doc/124925912?department=RP</x:v>
      </x:c>
      <x:c r="X45" s="303" t="str">
        <x:v>Official detail only; zero public page URLs and no OCR/image</x:v>
      </x:c>
      <x:c r="Y45" s="303" t="str">
        <x:v>The mutual marginal chain is real portal metadata, but absent images and absent Park party indexing prevent identifying the secured party or proving a Park successor, assignment, or post-dissolution act.</x:v>
      </x:c>
    </x:row>
    <x:row r="46" ht="66" customHeight="1">
      <x:c r="A46" s="303" t="str">
        <x:v>Park Properties</x:v>
      </x:c>
      <x:c r="B46" s="315" t="str">
        <x:v>William and Marcia Goldberger d/b/a Park Properties (excluded)</x:v>
      </x:c>
      <x:c r="C46" s="315" t="str">
        <x:v>Image-verified exact-name collision; not the Ohio corporation on the instrument's face</x:v>
      </x:c>
      <x:c r="D46" s="312" t="str">
        <x:v>2440 East Main Street, Bexley/Columbus, Ohio; free-standing building of approximately 4,000 square feet</x:v>
      </x:c>
      <x:c r="E46" s="312" t="str">
        <x:v>1993-06-15 (lessors' acknowledgment; first-page handwritten day)</x:v>
      </x:c>
      <x:c r="F46" s="303" t="str">
        <x:v>1993-06-22</x:v>
      </x:c>
      <x:c r="G46" s="303" t="str">
        <x:v>199306220154512</x:v>
      </x:c>
      <x:c r="H46" s="303" t="str">
        <x:v>Memorandum of Lease (LE)</x:v>
      </x:c>
      <x:c r="I46" s="303" t="str">
        <x:v>William Goldberger and Marcia Goldberger, Ohio residents d/b/a Park Properties</x:v>
      </x:c>
      <x:c r="J46" s="303" t="str">
        <x:v>a'Salon Inc., Ohio corporation</x:v>
      </x:c>
      <x:c r="K46" s="303" t="str">
        <x:v>None stated</x:v>
      </x:c>
      <x:c r="L46" s="303" t="str">
        <x:v>Not applicable; lease</x:v>
      </x:c>
      <x:c r="M46" s="303" t="str">
        <x:v>None</x:v>
      </x:c>
      <x:c r="N46" s="303" t="str">
        <x:v>Lease term 1993-08-01 through 2003-12-31; three five-year renewal options</x:v>
      </x:c>
      <x:c r="O46" s="303" t="str">
        <x:v>William Goldberger; Marcia Goldberger; Michael Garcia, President of a'Salon Inc.</x:v>
      </x:c>
      <x:c r="P46" s="303" t="str">
        <x:v>Harlan W. Robins, Esq., Jones, Day, Reavis &amp; Pogue, 41 South High Street, Columbus, Ohio 43215</x:v>
      </x:c>
      <x:c r="Q46" s="315" t="str">
        <x:v>Lessor: 2175 East Broad Street, Columbus, Ohio 43209; Lessee: 2440 East Main Street, Columbus, Ohio 43209</x:v>
      </x:c>
      <x:c r="R46" s="303" t="str">
        <x:v>Vickie Sue Stantz [lessors; stamp/OCR]; Lawrence Dempsey [lessee]</x:v>
      </x:c>
      <x:c r="S46" s="303" t="str">
        <x:v>Title reference ORV 10966, page J12</x:v>
      </x:c>
      <x:c r="T46" s="309" t="str">
        <x:v>None identified</x:v>
      </x:c>
      <x:c r="U46" s="303" t="str">
        <x:v>5</x:v>
      </x:c>
      <x:c r="V46" s="303" t="str">
        <x:v>124077599</x:v>
      </x:c>
      <x:c r="W46" s="303" t="str">
        <x:v>https://franklin.oh.publicsearch.us/doc/124077599?department=RP</x:v>
      </x:c>
      <x:c r="X46" s="303" t="str">
        <x:v>Official index plus five public page images; OCR and image review; existing verified finding 14627</x:v>
      </x:c>
      <x:c r="Y46" s="303" t="str">
        <x:v>Do not use this post-dissolution lease as evidence of the Epstein/Wexner-linked Park Properties, Inc.; the image expressly names two individuals doing business as Park Properties.</x:v>
      </x:c>
    </x:row>
    <x:row r="47" ht="66" customHeight="1">
      <x:c r="A47" s="303" t="str">
        <x:v>Rocky Fork</x:v>
      </x:c>
      <x:c r="B47" s="315" t="str">
        <x:v>1</x:v>
      </x:c>
      <x:c r="C47" s="315" t="str">
        <x:v>referenced_predecessor</x:v>
      </x:c>
      <x:c r="D47" s="312" t="str">
        <x:v>130160438</x:v>
      </x:c>
      <x:c r="E47" s="312" t="str">
        <x:v>198701120055143</x:v>
      </x:c>
      <x:c r="F47" s="303" t="str">
        <x:v>1/12/1987</x:v>
      </x:c>
      <x:c r="G47" s="303" t="str">
        <x:v>1986 (assignment recites lease dated 1986-12-31)</x:v>
      </x:c>
      <x:c r="H47" s="303" t="str">
        <x:v>LE</x:v>
      </x:c>
      <x:c r="I47" s="303" t="str">
        <x:v>memorandum of lease</x:v>
      </x:c>
      <x:c r="J47" s="303" t="str">
        <x:v>8878E20</x:v>
      </x:c>
      <x:c r="K47" s="303" t="str">
        <x:v>BREWER FARMS INC</x:v>
      </x:c>
      <x:c r="L47" s="303" t="str">
        <x:v>TONEY ROMA M; TONEY MAGGIE</x:v>
      </x:c>
      <x:c r="M47" s="303" t="str">
        <x:v>Roma M. Toney and Maggie Toney (lessors)</x:v>
      </x:c>
      <x:c r="N47" s="303" t="str">
        <x:v>Brewer Farms, Inc. (lessee)</x:v>
      </x:c>
      <x:c r="O47" s="303" t="str">
        <x:v>none; predecessor lease later assigned by Rocky Fork as Brewer's merger successor</x:v>
      </x:c>
      <x:c r="P47" s="303" t="str">
        <x:v>Creates long-term leasehold through 2085 and purchase option; does not convey fee title.</x:v>
      </x:c>
      <x:c r="Q47" s="315" t="str">
        <x:v>House tract at southeast corner of Johnstown Road and Morse Road, plus related parcel</x:v>
      </x:c>
      <x:c r="R47" s="303" t="str">
        <x:v>Jefferson Township</x:v>
      </x:c>
      <x:c r="S47" s="303" t="str">
        <x:v>1.873-acre premises; index also notes 2.990-acre related parcel</x:v>
      </x:c>
      <x:c r="T47" s="309"/>
      <x:c r="U47" s="303" t="str">
        <x:v>$1 rent and other good and valuable consideration</x:v>
      </x:c>
      <x:c r="V47" s="303" t="str">
        <x:v>no; $1 is nominal lease rent, not a property purchase price</x:v>
      </x:c>
      <x:c r="W47" s="303" t="str">
        <x:v>transfer exempt</x:v>
      </x:c>
      <x:c r="X47" s="303"/>
      <x:c r="Y47" s="303"/>
    </x:row>
    <x:row r="48" ht="66" customHeight="1">
      <x:c r="A48" s="303" t="str">
        <x:v>Rocky Fork</x:v>
      </x:c>
      <x:c r="B48" s="315" t="str">
        <x:v>2</x:v>
      </x:c>
      <x:c r="C48" s="315" t="str">
        <x:v>exact_party_index</x:v>
      </x:c>
      <x:c r="D48" s="312" t="str">
        <x:v>130327027</x:v>
      </x:c>
      <x:c r="E48" s="312" t="str">
        <x:v>198712310221262</x:v>
      </x:c>
      <x:c r="F48" s="303" t="str">
        <x:v>12/31/1987</x:v>
      </x:c>
      <x:c r="G48" s="303" t="str">
        <x:v>1987-08-26</x:v>
      </x:c>
      <x:c r="H48" s="303" t="str">
        <x:v>PT</x:v>
      </x:c>
      <x:c r="I48" s="303" t="str">
        <x:v>partnership certificate</x:v>
      </x:c>
      <x:c r="J48" s="303" t="str">
        <x:v>10996H09</x:v>
      </x:c>
      <x:c r="K48" s="303" t="str">
        <x:v>NEW ALBANY CO</x:v>
      </x:c>
      <x:c r="L48" s="303" t="str">
        <x:v>ROCKY FORK DEVELOPMENT CORP</x:v>
      </x:c>
      <x:c r="M48" s="303" t="str">
        <x:v>Rocky Fork Development Corporation and Blacklick Investments, Inc. (partners)</x:v>
      </x:c>
      <x:c r="N48" s="303" t="str">
        <x:v>The New Albany Company (Ohio general partnership)</x:v>
      </x:c>
      <x:c r="O48" s="303" t="str">
        <x:v>general partner of The New Albany Company</x:v>
      </x:c>
      <x:c r="P48" s="303" t="str">
        <x:v>Creates/records partnership interests; no fee-title transfer.</x:v>
      </x:c>
      <x:c r="Q48" s="315" t="str">
        <x:v>The New Albany Company formation</x:v>
      </x:c>
      <x:c r="R48" s="303" t="str">
        <x:v>Columbus / New Albany development</x:v>
      </x:c>
      <x:c r="S48" s="303"/>
      <x:c r="T48" s="309"/>
      <x:c r="U48" s="303"/>
      <x:c r="V48" s="303" t="str">
        <x:v>not applicable</x:v>
      </x:c>
      <x:c r="W48" s="303"/>
      <x:c r="X48" s="303"/>
      <x:c r="Y48" s="303"/>
    </x:row>
    <x:row r="49" ht="66" customHeight="1">
      <x:c r="A49" s="303" t="str">
        <x:v>Rocky Fork</x:v>
      </x:c>
      <x:c r="B49" s="315" t="str">
        <x:v>3</x:v>
      </x:c>
      <x:c r="C49" s="315" t="str">
        <x:v>exact_party_index</x:v>
      </x:c>
      <x:c r="D49" s="312" t="str">
        <x:v>130326655</x:v>
      </x:c>
      <x:c r="E49" s="312" t="str">
        <x:v>198712310221397</x:v>
      </x:c>
      <x:c r="F49" s="303" t="str">
        <x:v>12/31/1987</x:v>
      </x:c>
      <x:c r="G49" s="303" t="str">
        <x:v>1987-12-31</x:v>
      </x:c>
      <x:c r="H49" s="303" t="str">
        <x:v>DE</x:v>
      </x:c>
      <x:c r="I49" s="303" t="str">
        <x:v>limited warranty deed</x:v>
      </x:c>
      <x:c r="J49" s="303" t="str">
        <x:v>10999C01</x:v>
      </x:c>
      <x:c r="K49" s="303" t="str">
        <x:v>ROCKY FORK DEVELOPMENT CORP; BREWER FARMS INC</x:v>
      </x:c>
      <x:c r="L49" s="303" t="str">
        <x:v>NEW ALBANY CO</x:v>
      </x:c>
      <x:c r="M49" s="303" t="str">
        <x:v>Rocky Fork Development Corporation, successor by merger to Brewer Farms, Inc.</x:v>
      </x:c>
      <x:c r="N49" s="303" t="str">
        <x:v>The New Albany Company, Ohio general partnership</x:v>
      </x:c>
      <x:c r="O49" s="303" t="str">
        <x:v>fee grantor as surviving corporation of Brewer Farms</x:v>
      </x:c>
      <x:c r="P49" s="303" t="str">
        <x:v>Conveys two Franklin County parcels to New Albany Company by limited warranty deed.</x:v>
      </x:c>
      <x:c r="Q49" s="315" t="str">
        <x:v>Brewer Farms land</x:v>
      </x:c>
      <x:c r="R49" s="303" t="str">
        <x:v>Jefferson Township</x:v>
      </x:c>
      <x:c r="S49" s="303" t="str">
        <x:v>index/front page: 2.990 + 4.697 = 7.687 acres; exhibit also contains 4.550-acre figure</x:v>
      </x:c>
      <x:c r="T49" s="309" t="str">
        <x:v>170-697; 170-1391</x:v>
      </x:c>
      <x:c r="U49" s="303" t="str">
        <x:v>valuable consideration paid</x:v>
      </x:c>
      <x:c r="V49" s="303" t="str">
        <x:v>no</x:v>
      </x:c>
      <x:c r="W49" s="303" t="str">
        <x:v>partnership / conveyance tax exempt</x:v>
      </x:c>
      <x:c r="X49" s="303" t="str">
        <x:v>Deed Records 08663 G14; 10784 F11 (handwritten)</x:v>
      </x:c>
      <x:c r="Y49" s="303" t="str">
        <x:v>“successor by merger to Brewer Farms, Inc.”</x:v>
      </x:c>
    </x:row>
    <x:row r="50" ht="66" customHeight="1">
      <x:c r="A50" s="303" t="str">
        <x:v>Rocky Fork</x:v>
      </x:c>
      <x:c r="B50" s="315" t="str">
        <x:v>4</x:v>
      </x:c>
      <x:c r="C50" s="315" t="str">
        <x:v>exact_party_index</x:v>
      </x:c>
      <x:c r="D50" s="312" t="str">
        <x:v>130326650</x:v>
      </x:c>
      <x:c r="E50" s="312" t="str">
        <x:v>198712310221398</x:v>
      </x:c>
      <x:c r="F50" s="303" t="str">
        <x:v>12/31/1987</x:v>
      </x:c>
      <x:c r="G50" s="303" t="str">
        <x:v>1987-12-31</x:v>
      </x:c>
      <x:c r="H50" s="303" t="str">
        <x:v>DE</x:v>
      </x:c>
      <x:c r="I50" s="303" t="str">
        <x:v>limited warranty deed</x:v>
      </x:c>
      <x:c r="J50" s="303" t="str">
        <x:v>10999C03</x:v>
      </x:c>
      <x:c r="K50" s="303" t="str">
        <x:v>HINSON CO; ROCKY FORK DEVELOPMENT CORP</x:v>
      </x:c>
      <x:c r="L50" s="303" t="str">
        <x:v>NEW ALBANY CO</x:v>
      </x:c>
      <x:c r="M50" s="303" t="str">
        <x:v>Rocky Fork Development Corporation, successor by merger to The Hinson Company</x:v>
      </x:c>
      <x:c r="N50" s="303" t="str">
        <x:v>The New Albany Company, Ohio general partnership</x:v>
      </x:c>
      <x:c r="O50" s="303" t="str">
        <x:v>fee grantor as surviving corporation of Hinson</x:v>
      </x:c>
      <x:c r="P50" s="303" t="str">
        <x:v>Conveys four Franklin County parcels to New Albany Company by limited warranty deed.</x:v>
      </x:c>
      <x:c r="Q50" s="315" t="str">
        <x:v>Hinson-company land</x:v>
      </x:c>
      <x:c r="R50" s="303" t="str">
        <x:v>Jefferson Township</x:v>
      </x:c>
      <x:c r="S50" s="303" t="str">
        <x:v>52.041 + 10.506 + 30.700 = 93.247 labeled acres</x:v>
      </x:c>
      <x:c r="T50" s="309" t="str">
        <x:v>170-1847; 170-1815; 170-1810; 170-184</x:v>
      </x:c>
      <x:c r="U50" s="303" t="str">
        <x:v>valuable consideration paid</x:v>
      </x:c>
      <x:c r="V50" s="303" t="str">
        <x:v>no</x:v>
      </x:c>
      <x:c r="W50" s="303" t="str">
        <x:v>partnership / conveyance tax exempt</x:v>
      </x:c>
      <x:c r="X50" s="303" t="str">
        <x:v>Deed Records 08619 D05; 08102 J18; 08782 H05</x:v>
      </x:c>
      <x:c r="Y50" s="303" t="str">
        <x:v>“successor by merger to The Hinson Company”</x:v>
      </x:c>
    </x:row>
    <x:row r="51" ht="66" customHeight="1">
      <x:c r="A51" s="303" t="str">
        <x:v>Rocky Fork</x:v>
      </x:c>
      <x:c r="B51" s="315" t="str">
        <x:v>5</x:v>
      </x:c>
      <x:c r="C51" s="315" t="str">
        <x:v>exact_party_index</x:v>
      </x:c>
      <x:c r="D51" s="312" t="str">
        <x:v>130326654</x:v>
      </x:c>
      <x:c r="E51" s="312" t="str">
        <x:v>198712310221399</x:v>
      </x:c>
      <x:c r="F51" s="303" t="str">
        <x:v>12/31/1987</x:v>
      </x:c>
      <x:c r="G51" s="303" t="str">
        <x:v>1987-12-31</x:v>
      </x:c>
      <x:c r="H51" s="303" t="str">
        <x:v>DE</x:v>
      </x:c>
      <x:c r="I51" s="303" t="str">
        <x:v>limited warranty deed</x:v>
      </x:c>
      <x:c r="J51" s="303" t="str">
        <x:v>10999C06</x:v>
      </x:c>
      <x:c r="K51" s="303" t="str">
        <x:v>ROCKY FORK DEVELOPMENT CORP; CENTRAL FALLS INC</x:v>
      </x:c>
      <x:c r="L51" s="303" t="str">
        <x:v>NEW ALBANY CO</x:v>
      </x:c>
      <x:c r="M51" s="303" t="str">
        <x:v>Rocky Fork Development Corporation, successor by merger to Central Falls, Inc.</x:v>
      </x:c>
      <x:c r="N51" s="303" t="str">
        <x:v>The New Albany Company, Ohio general partnership</x:v>
      </x:c>
      <x:c r="O51" s="303" t="str">
        <x:v>fee grantor as surviving corporation of Central Falls</x:v>
      </x:c>
      <x:c r="P51" s="303" t="str">
        <x:v>Conveys one Franklin County parcel to New Albany Company by limited warranty deed.</x:v>
      </x:c>
      <x:c r="Q51" s="315" t="str">
        <x:v>Central Falls land</x:v>
      </x:c>
      <x:c r="R51" s="303" t="str">
        <x:v>Jefferson Township</x:v>
      </x:c>
      <x:c r="S51" s="303" t="str">
        <x:v>40.000 acres</x:v>
      </x:c>
      <x:c r="T51" s="309" t="str">
        <x:v>170-279</x:v>
      </x:c>
      <x:c r="U51" s="303" t="str">
        <x:v>valuable consideration paid</x:v>
      </x:c>
      <x:c r="V51" s="303" t="str">
        <x:v>no</x:v>
      </x:c>
      <x:c r="W51" s="303" t="str">
        <x:v>partnership / conveyance tax exempt</x:v>
      </x:c>
      <x:c r="X51" s="303" t="str">
        <x:v>Deed Records 08662 A16</x:v>
      </x:c>
      <x:c r="Y51" s="303" t="str">
        <x:v>“successor by merger to Central Falls, Inc.”</x:v>
      </x:c>
    </x:row>
    <x:row r="52" ht="66" customHeight="1">
      <x:c r="A52" s="303" t="str">
        <x:v>Rocky Fork</x:v>
      </x:c>
      <x:c r="B52" s="315" t="str">
        <x:v>6</x:v>
      </x:c>
      <x:c r="C52" s="315" t="str">
        <x:v>exact_party_index</x:v>
      </x:c>
      <x:c r="D52" s="312" t="str">
        <x:v>130326661</x:v>
      </x:c>
      <x:c r="E52" s="312" t="str">
        <x:v>198712310221400</x:v>
      </x:c>
      <x:c r="F52" s="303" t="str">
        <x:v>12/31/1987</x:v>
      </x:c>
      <x:c r="G52" s="303" t="str">
        <x:v>1987-12-31</x:v>
      </x:c>
      <x:c r="H52" s="303" t="str">
        <x:v>DE</x:v>
      </x:c>
      <x:c r="I52" s="303" t="str">
        <x:v>limited warranty deed</x:v>
      </x:c>
      <x:c r="J52" s="303" t="str">
        <x:v>10999C08</x:v>
      </x:c>
      <x:c r="K52" s="303" t="str">
        <x:v>BEARCE HOLLOW INC; ROCKY FORK DEVELOPMENT CORP</x:v>
      </x:c>
      <x:c r="L52" s="303" t="str">
        <x:v>NEW ALBANY CO</x:v>
      </x:c>
      <x:c r="M52" s="303" t="str">
        <x:v>Rocky Fork Development Corporation, successor by merger to Bearce Hollow, Inc.</x:v>
      </x:c>
      <x:c r="N52" s="303" t="str">
        <x:v>The New Albany Company, Ohio general partnership</x:v>
      </x:c>
      <x:c r="O52" s="303" t="str">
        <x:v>fee grantor as surviving corporation of Bearce Hollow</x:v>
      </x:c>
      <x:c r="P52" s="303" t="str">
        <x:v>Conveys three Franklin County parcels to New Albany Company by limited warranty deed.</x:v>
      </x:c>
      <x:c r="Q52" s="315" t="str">
        <x:v>Bearce Hollow land</x:v>
      </x:c>
      <x:c r="R52" s="303" t="str">
        <x:v>Jefferson Township</x:v>
      </x:c>
      <x:c r="S52" s="303" t="str">
        <x:v>28.427 + 46.292 = 74.719 labeled acres</x:v>
      </x:c>
      <x:c r="T52" s="309" t="str">
        <x:v>170-243; 170-81; 170-288</x:v>
      </x:c>
      <x:c r="U52" s="303" t="str">
        <x:v>valuable consideration paid</x:v>
      </x:c>
      <x:c r="V52" s="303" t="str">
        <x:v>no</x:v>
      </x:c>
      <x:c r="W52" s="303" t="str">
        <x:v>partnership / conveyance tax exempt</x:v>
      </x:c>
      <x:c r="X52" s="303" t="str">
        <x:v>Deed Records 08811 G10</x:v>
      </x:c>
      <x:c r="Y52" s="303" t="str">
        <x:v>“successor by merger to Bearce Hollow, Inc.”</x:v>
      </x:c>
    </x:row>
    <x:row r="53" ht="66" customHeight="1">
      <x:c r="A53" s="303" t="str">
        <x:v>Rocky Fork</x:v>
      </x:c>
      <x:c r="B53" s="315" t="str">
        <x:v>7</x:v>
      </x:c>
      <x:c r="C53" s="315" t="str">
        <x:v>exact_party_index</x:v>
      </x:c>
      <x:c r="D53" s="312" t="str">
        <x:v>130326514</x:v>
      </x:c>
      <x:c r="E53" s="312" t="str">
        <x:v>198712310221402</x:v>
      </x:c>
      <x:c r="F53" s="303" t="str">
        <x:v>12/31/1987</x:v>
      </x:c>
      <x:c r="G53" s="303" t="str">
        <x:v>1987-12-31</x:v>
      </x:c>
      <x:c r="H53" s="303" t="str">
        <x:v>ASLE</x:v>
      </x:c>
      <x:c r="I53" s="303" t="str">
        <x:v>memorandum of assignment of lease</x:v>
      </x:c>
      <x:c r="J53" s="303" t="str">
        <x:v>10999D02</x:v>
      </x:c>
      <x:c r="K53" s="303" t="str">
        <x:v>BREWERS FARMS INC; ROCKY FORK DEVELOPMENT CORP; TONEY MAGGIE; TONEY ROMA A</x:v>
      </x:c>
      <x:c r="L53" s="303" t="str">
        <x:v>NEW ALBANY CO</x:v>
      </x:c>
      <x:c r="M53" s="303" t="str">
        <x:v>Rocky Fork Development Corporation, successor by merger to Brewer Farms, Inc. (assignor)</x:v>
      </x:c>
      <x:c r="N53" s="303" t="str">
        <x:v>The New Albany Company (assignee)</x:v>
      </x:c>
      <x:c r="O53" s="303" t="str">
        <x:v>leasehold assignor as Brewer Farms' merger successor; also signs for assignee as New Albany general partner</x:v>
      </x:c>
      <x:c r="P53" s="303" t="str">
        <x:v>Assigns all right, title, and interest under the Toney lease to New Albany, which assumes the obligations; no fee-title transfer.</x:v>
      </x:c>
      <x:c r="Q53" s="315" t="str">
        <x:v>Toney house tract and structures; underlying predecessor lease OR 08878 E20</x:v>
      </x:c>
      <x:c r="R53" s="303" t="str">
        <x:v>Jefferson Township</x:v>
      </x:c>
      <x:c r="S53" s="303" t="str">
        <x:v>1.873 acres</x:v>
      </x:c>
      <x:c r="T53" s="309"/>
      <x:c r="U53" s="303" t="str">
        <x:v>valuable consideration, receipt and sufficiency acknowledged</x:v>
      </x:c>
      <x:c r="V53" s="303" t="str">
        <x:v>no</x:v>
      </x:c>
      <x:c r="W53" s="303"/>
      <x:c r="X53" s="303" t="str">
        <x:v>OR 08878 E20; lease instrument 198701120055143</x:v>
      </x:c>
      <x:c r="Y53" s="303" t="str">
        <x:v>“Assignor is the successor by merger to Brewer Farms, Inc. under the Lease.”</x:v>
      </x:c>
    </x:row>
    <x:row r="54" ht="66" customHeight="1">
      <x:c r="A54" s="303" t="str">
        <x:v>Rocky Fork</x:v>
      </x:c>
      <x:c r="B54" s="315" t="str">
        <x:v>8</x:v>
      </x:c>
      <x:c r="C54" s="315" t="str">
        <x:v>ocr_financing_sample</x:v>
      </x:c>
      <x:c r="D54" s="312" t="str">
        <x:v>130466198</x:v>
      </x:c>
      <x:c r="E54" s="312" t="str">
        <x:v>198812280189582</x:v>
      </x:c>
      <x:c r="F54" s="303" t="str">
        <x:v>12/28/1988</x:v>
      </x:c>
      <x:c r="G54" s="303" t="str">
        <x:v>1988-12</x:v>
      </x:c>
      <x:c r="H54" s="303" t="str">
        <x:v>ASMO</x:v>
      </x:c>
      <x:c r="I54" s="303" t="str">
        <x:v>assignment of option agreement</x:v>
      </x:c>
      <x:c r="J54" s="303" t="str">
        <x:v>12775F10</x:v>
      </x:c>
      <x:c r="K54" s="303" t="str">
        <x:v>MORSE HAMILTON LTD; N E L C INC; NELC INC</x:v>
      </x:c>
      <x:c r="L54" s="303" t="str">
        <x:v>NEW ALBANY CO</x:v>
      </x:c>
      <x:c r="M54" s="303" t="str">
        <x:v>NELC, Inc. (assignor)</x:v>
      </x:c>
      <x:c r="N54" s="303" t="str">
        <x:v>The New Albany Company (assignee)</x:v>
      </x:c>
      <x:c r="O54" s="303" t="str">
        <x:v>general partner signing New Albany's acceptance</x:v>
      </x:c>
      <x:c r="P54" s="303" t="str">
        <x:v>Assigns NELC's rights under a 1987 land option to New Albany; no present fee-title transfer shown.</x:v>
      </x:c>
      <x:c r="Q54" s="315" t="str">
        <x:v>Option agreement with Morse Hamilton, Ltd.; notice recorded at OR 9852 H1</x:v>
      </x:c>
      <x:c r="R54" s="303"/>
      <x:c r="S54" s="303" t="str">
        <x:v>index remark: 1.320 acres</x:v>
      </x:c>
      <x:c r="T54" s="309"/>
      <x:c r="U54" s="303"/>
      <x:c r="V54" s="303" t="str">
        <x:v>no</x:v>
      </x:c>
      <x:c r="W54" s="303"/>
      <x:c r="X54" s="303" t="str">
        <x:v>OR 9852 H1</x:v>
      </x:c>
      <x:c r="Y54" s="303"/>
    </x:row>
    <x:row r="55" ht="66" customHeight="1">
      <x:c r="A55" s="303" t="str">
        <x:v>Rocky Fork</x:v>
      </x:c>
      <x:c r="B55" s="315" t="str">
        <x:v>9</x:v>
      </x:c>
      <x:c r="C55" s="315" t="str">
        <x:v>exact_party_index</x:v>
      </x:c>
      <x:c r="D55" s="312" t="str">
        <x:v>130576452</x:v>
      </x:c>
      <x:c r="E55" s="312" t="str">
        <x:v>198910060156867</x:v>
      </x:c>
      <x:c r="F55" s="303" t="str">
        <x:v>10/6/1989</x:v>
      </x:c>
      <x:c r="G55" s="303" t="str">
        <x:v>1989-10</x:v>
      </x:c>
      <x:c r="H55" s="303" t="str">
        <x:v>EA</x:v>
      </x:c>
      <x:c r="I55" s="303" t="str">
        <x:v>perpetual sanitary-sewer easement</x:v>
      </x:c>
      <x:c r="J55" s="303" t="str">
        <x:v>14139J15</x:v>
      </x:c>
      <x:c r="K55" s="303" t="str">
        <x:v>NEW ALBANY CO; ROCKY FORK DEVELOPMENT CORP</x:v>
      </x:c>
      <x:c r="L55" s="303" t="str">
        <x:v>NEW ALBANY VILLAGE OF; VILLAGE OF NEW ALBANY</x:v>
      </x:c>
      <x:c r="M55" s="303" t="str">
        <x:v>The New Albany Company and Rocky Fork Development Corporation (named grantors)</x:v>
      </x:c>
      <x:c r="N55" s="303" t="str">
        <x:v>Village of New Albany and William H. and Pauline F. Resch</x:v>
      </x:c>
      <x:c r="O55" s="303" t="str">
        <x:v>co-grantor in caption/signature; William R. Westbrook signs separately as Rocky Fork vice president</x:v>
      </x:c>
      <x:c r="P55" s="303" t="str">
        <x:v>Grants permanent and temporary sewer easements. Legal description identifies the burdened tract as property conveyed to New Albany Company.</x:v>
      </x:c>
      <x:c r="Q55" s="315" t="str">
        <x:v>Strip across New Albany tract of record OR 12773 A03</x:v>
      </x:c>
      <x:c r="R55" s="303" t="str">
        <x:v>City of Gahanna</x:v>
      </x:c>
      <x:c r="S55" s="303" t="str">
        <x:v>0.208-acre permanent strip; temporary strips 0.641 and 0.206 acre</x:v>
      </x:c>
      <x:c r="T55" s="309"/>
      <x:c r="U55" s="303" t="str">
        <x:v>$1 and other valuable consideration</x:v>
      </x:c>
      <x:c r="V55" s="303" t="str">
        <x:v>no</x:v>
      </x:c>
      <x:c r="W55" s="303"/>
      <x:c r="X55" s="303" t="str">
        <x:v>OR 12773 A03</x:v>
      </x:c>
      <x:c r="Y55" s="303"/>
    </x:row>
    <x:row r="56" ht="66" customHeight="1">
      <x:c r="A56" s="303" t="str">
        <x:v>Rocky Fork</x:v>
      </x:c>
      <x:c r="B56" s="315" t="str">
        <x:v>10</x:v>
      </x:c>
      <x:c r="C56" s="315" t="str">
        <x:v>exact_party_index</x:v>
      </x:c>
      <x:c r="D56" s="312" t="str">
        <x:v>123620469</x:v>
      </x:c>
      <x:c r="E56" s="312" t="str">
        <x:v>199107260127070</x:v>
      </x:c>
      <x:c r="F56" s="303" t="str">
        <x:v>7/26/1991</x:v>
      </x:c>
      <x:c r="G56" s="303"/>
      <x:c r="H56" s="303" t="str">
        <x:v>EA</x:v>
      </x:c>
      <x:c r="I56" s="303" t="str">
        <x:v>deed of easement</x:v>
      </x:c>
      <x:c r="J56" s="303" t="str">
        <x:v>17364J07</x:v>
      </x:c>
      <x:c r="K56" s="303" t="str">
        <x:v>ROCKY FORK DEVELOPMENT CORP</x:v>
      </x:c>
      <x:c r="L56" s="303" t="str">
        <x:v>COLUMBUS CITY OF; CITY OF COLUMBUS</x:v>
      </x:c>
      <x:c r="M56" s="303" t="str">
        <x:v>The New Albany Company</x:v>
      </x:c>
      <x:c r="N56" s="303" t="str">
        <x:v>City of Columbus</x:v>
      </x:c>
      <x:c r="O56" s="303" t="str">
        <x:v>general partner executing for New Albany</x:v>
      </x:c>
      <x:c r="P56" s="303" t="str">
        <x:v>Grants a perpetual sewer easement over New Albany property; Rocky Fork is representative, not a separate fee grantor.</x:v>
      </x:c>
      <x:c r="Q56" s="315" t="str">
        <x:v>Sewer easement shown in exhibits</x:v>
      </x:c>
      <x:c r="R56" s="303"/>
      <x:c r="S56" s="303" t="str">
        <x:v>0.174 acre</x:v>
      </x:c>
      <x:c r="T56" s="309"/>
      <x:c r="U56" s="303" t="str">
        <x:v>$1 and other good and valuable consideration</x:v>
      </x:c>
      <x:c r="V56" s="303" t="str">
        <x:v>no</x:v>
      </x:c>
      <x:c r="W56" s="303" t="str">
        <x:v>transfer not necessary / conveyance tax exempt</x:v>
      </x:c>
      <x:c r="X56" s="303"/>
      <x:c r="Y56" s="303"/>
    </x:row>
    <x:row r="57" ht="66" customHeight="1">
      <x:c r="A57" s="303" t="str">
        <x:v>Rocky Fork</x:v>
      </x:c>
      <x:c r="B57" s="315" t="str">
        <x:v>11</x:v>
      </x:c>
      <x:c r="C57" s="315" t="str">
        <x:v>ocr_financing_sample</x:v>
      </x:c>
      <x:c r="D57" s="312" t="str">
        <x:v>123632762</x:v>
      </x:c>
      <x:c r="E57" s="312" t="str">
        <x:v>199108210139164</x:v>
      </x:c>
      <x:c r="F57" s="303" t="str">
        <x:v>8/21/1991</x:v>
      </x:c>
      <x:c r="G57" s="303"/>
      <x:c r="H57" s="303" t="str">
        <x:v>PRMO</x:v>
      </x:c>
      <x:c r="I57" s="303" t="str">
        <x:v>partial release of mortgage</x:v>
      </x:c>
      <x:c r="J57" s="303" t="str">
        <x:v>17519F11</x:v>
      </x:c>
      <x:c r="K57" s="303" t="str">
        <x:v>GERBER WILLIAM K; GERBER PAMELA M</x:v>
      </x:c>
      <x:c r="L57" s="303" t="str">
        <x:v>NEW ALBANY CO</x:v>
      </x:c>
      <x:c r="M57" s="303" t="str">
        <x:v>The New Albany Company (mortgagee/releasor)</x:v>
      </x:c>
      <x:c r="N57" s="303" t="str">
        <x:v>William K. and Pamela M. Gerber (mortgagors whose land is released)</x:v>
      </x:c>
      <x:c r="O57" s="303" t="str">
        <x:v>general partner executing for New Albany</x:v>
      </x:c>
      <x:c r="P57" s="303" t="str">
        <x:v>Partially releases 2 acres from a mortgage held by New Albany; no Rocky Fork fee transfer or Rocky Fork debt.</x:v>
      </x:c>
      <x:c r="Q57" s="315" t="str">
        <x:v>2-acre release tract</x:v>
      </x:c>
      <x:c r="R57" s="303"/>
      <x:c r="S57" s="303" t="str">
        <x:v>2.000 acres</x:v>
      </x:c>
      <x:c r="T57" s="309"/>
      <x:c r="U57" s="303"/>
      <x:c r="V57" s="303" t="str">
        <x:v>no</x:v>
      </x:c>
      <x:c r="W57" s="303"/>
      <x:c r="X57" s="303" t="str">
        <x:v>Mortgage OR 16110 I11; recorder marginal ref instrument 199011150174196</x:v>
      </x:c>
      <x:c r="Y57" s="303"/>
    </x:row>
    <x:row r="58" ht="66" customHeight="1">
      <x:c r="A58" s="303" t="str">
        <x:v>Rocky Fork</x:v>
      </x:c>
      <x:c r="B58" s="315" t="str">
        <x:v>12</x:v>
      </x:c>
      <x:c r="C58" s="315" t="str">
        <x:v>ocr_financing_sample</x:v>
      </x:c>
      <x:c r="D58" s="312" t="str">
        <x:v>123670665</x:v>
      </x:c>
      <x:c r="E58" s="312" t="str">
        <x:v>199111140176781</x:v>
      </x:c>
      <x:c r="F58" s="303" t="str">
        <x:v>11/14/1991</x:v>
      </x:c>
      <x:c r="G58" s="303"/>
      <x:c r="H58" s="303" t="str">
        <x:v>SUMO</x:v>
      </x:c>
      <x:c r="I58" s="303" t="str">
        <x:v>subordination of mortgage</x:v>
      </x:c>
      <x:c r="J58" s="303" t="str">
        <x:v>18019F18</x:v>
      </x:c>
      <x:c r="K58" s="303" t="str">
        <x:v>WICKLINE BUILDERS INC; NEW ALBANY CO</x:v>
      </x:c>
      <x:c r="L58" s="303" t="str">
        <x:v>BANCOHIO NATIONAL BANK</x:v>
      </x:c>
      <x:c r="M58" s="303" t="str">
        <x:v>The New Albany Company (mortgagee/subordinating party)</x:v>
      </x:c>
      <x:c r="N58" s="303" t="str">
        <x:v>BancOhio National Bank (priority beneficiary)</x:v>
      </x:c>
      <x:c r="O58" s="303" t="str">
        <x:v>general partner executing for New Albany</x:v>
      </x:c>
      <x:c r="P58" s="303" t="str">
        <x:v>Subordinates New Albany's Wickline Builders mortgage to BancOhio financing on Lot 26; no Rocky Fork debt or fee transfer.</x:v>
      </x:c>
      <x:c r="Q58" s="315" t="str">
        <x:v>Lot 26, New Albany subdivision</x:v>
      </x:c>
      <x:c r="R58" s="303" t="str">
        <x:v>Village of New Albany</x:v>
      </x:c>
      <x:c r="S58" s="303"/>
      <x:c r="T58" s="309"/>
      <x:c r="U58" s="303"/>
      <x:c r="V58" s="303" t="str">
        <x:v>no</x:v>
      </x:c>
      <x:c r="W58" s="303"/>
      <x:c r="X58" s="303" t="str">
        <x:v>New Albany mortgage OR 17643 C13</x:v>
      </x:c>
      <x:c r="Y58" s="303"/>
    </x:row>
    <x:row r="59" ht="66" customHeight="1">
      <x:c r="A59" s="303" t="str">
        <x:v>Rocky Fork</x:v>
      </x:c>
      <x:c r="B59" s="315" t="str">
        <x:v>13</x:v>
      </x:c>
      <x:c r="C59" s="315" t="str">
        <x:v>ocr_financing_sample</x:v>
      </x:c>
      <x:c r="D59" s="312" t="str">
        <x:v>123675911</x:v>
      </x:c>
      <x:c r="E59" s="312" t="str">
        <x:v>199111260182324</x:v>
      </x:c>
      <x:c r="F59" s="303" t="str">
        <x:v>11/26/1991</x:v>
      </x:c>
      <x:c r="G59" s="303"/>
      <x:c r="H59" s="303" t="str">
        <x:v>SUMO</x:v>
      </x:c>
      <x:c r="I59" s="303" t="str">
        <x:v>subordination of mortgage</x:v>
      </x:c>
      <x:c r="J59" s="303" t="str">
        <x:v>18096D04</x:v>
      </x:c>
      <x:c r="K59" s="303" t="str">
        <x:v>KIRK RICHARD; KIRK BARBARA L; NEW ALBANY CO</x:v>
      </x:c>
      <x:c r="L59" s="303" t="str">
        <x:v>STATE SAVINGS BANK</x:v>
      </x:c>
      <x:c r="M59" s="303" t="str">
        <x:v>The New Albany Company (mortgagee/subordinating party)</x:v>
      </x:c>
      <x:c r="N59" s="303" t="str">
        <x:v>State Savings Bank (priority beneficiary)</x:v>
      </x:c>
      <x:c r="O59" s="303" t="str">
        <x:v>general partner executing for New Albany</x:v>
      </x:c>
      <x:c r="P59" s="303" t="str">
        <x:v>Subordinates New Albany's Kirk mortgage to State Savings Bank financing on Lot 13; no Rocky Fork debt or fee transfer.</x:v>
      </x:c>
      <x:c r="Q59" s="315" t="str">
        <x:v>Lot 13, New Albany subdivision</x:v>
      </x:c>
      <x:c r="R59" s="303" t="str">
        <x:v>Village of New Albany</x:v>
      </x:c>
      <x:c r="S59" s="303"/>
      <x:c r="T59" s="309"/>
      <x:c r="U59" s="303"/>
      <x:c r="V59" s="303" t="str">
        <x:v>no</x:v>
      </x:c>
      <x:c r="W59" s="303"/>
      <x:c r="X59" s="303"/>
      <x:c r="Y59" s="303"/>
    </x:row>
    <x:row r="60" ht="66" customHeight="1">
      <x:c r="A60" s="303" t="str">
        <x:v>Rocky Fork</x:v>
      </x:c>
      <x:c r="B60" s="315" t="str">
        <x:v>14</x:v>
      </x:c>
      <x:c r="C60" s="315" t="str">
        <x:v>ocr_financing_sample</x:v>
      </x:c>
      <x:c r="D60" s="312" t="str">
        <x:v>123679192</x:v>
      </x:c>
      <x:c r="E60" s="312" t="str">
        <x:v>199112030185504</x:v>
      </x:c>
      <x:c r="F60" s="303" t="str">
        <x:v>12/3/1991</x:v>
      </x:c>
      <x:c r="G60" s="303"/>
      <x:c r="H60" s="303" t="str">
        <x:v>SUMO</x:v>
      </x:c>
      <x:c r="I60" s="303" t="str">
        <x:v>subordination of mortgage</x:v>
      </x:c>
      <x:c r="J60" s="303" t="str">
        <x:v>18145D09</x:v>
      </x:c>
      <x:c r="K60" s="303" t="str">
        <x:v>THORNTON BUILDERS INC/WM; WM THORNTON BUILDERS INC; STATE SAVINGS BANK</x:v>
      </x:c>
      <x:c r="L60" s="303" t="str">
        <x:v>NEW ALBANY CO</x:v>
      </x:c>
      <x:c r="M60" s="303" t="str">
        <x:v>The New Albany Company (mortgagee/subordinating party)</x:v>
      </x:c>
      <x:c r="N60" s="303" t="str">
        <x:v>State Savings Bank (priority beneficiary)</x:v>
      </x:c>
      <x:c r="O60" s="303" t="str">
        <x:v>general partner executing for New Albany</x:v>
      </x:c>
      <x:c r="P60" s="303" t="str">
        <x:v>Subordinates New Albany's Thornton Builders mortgage to State Savings Bank financing on Lot 9; no Rocky Fork debt or fee transfer.</x:v>
      </x:c>
      <x:c r="Q60" s="315" t="str">
        <x:v>Lot 9, New Albany subdivision</x:v>
      </x:c>
      <x:c r="R60" s="303" t="str">
        <x:v>Village of New Albany</x:v>
      </x:c>
      <x:c r="S60" s="303"/>
      <x:c r="T60" s="309"/>
      <x:c r="U60" s="303"/>
      <x:c r="V60" s="303" t="str">
        <x:v>no</x:v>
      </x:c>
      <x:c r="W60" s="303"/>
      <x:c r="X60" s="303"/>
      <x:c r="Y60" s="303"/>
    </x:row>
    <x:row r="61" ht="66" customHeight="1">
      <x:c r="A61" s="303" t="str">
        <x:v>Rocky Fork</x:v>
      </x:c>
      <x:c r="B61" s="315" t="str">
        <x:v>15</x:v>
      </x:c>
      <x:c r="C61" s="315" t="str">
        <x:v>exact_party_index</x:v>
      </x:c>
      <x:c r="D61" s="312" t="str">
        <x:v>123680736</x:v>
      </x:c>
      <x:c r="E61" s="312" t="str">
        <x:v>199112060187246</x:v>
      </x:c>
      <x:c r="F61" s="303" t="str">
        <x:v>12/6/1991</x:v>
      </x:c>
      <x:c r="G61" s="303" t="str">
        <x:v>1991-12-03</x:v>
      </x:c>
      <x:c r="H61" s="303" t="str">
        <x:v>PT</x:v>
      </x:c>
      <x:c r="I61" s="303" t="str">
        <x:v>amended partnership certificate</x:v>
      </x:c>
      <x:c r="J61" s="303" t="str">
        <x:v>18171H15</x:v>
      </x:c>
      <x:c r="K61" s="303" t="str">
        <x:v>NEW ALBANY CO</x:v>
      </x:c>
      <x:c r="L61" s="303" t="str">
        <x:v>ROCKY FORK DEVELOPMENT CORP</x:v>
      </x:c>
      <x:c r="M61" s="303" t="str">
        <x:v>Rocky Fork Development Corporation and Community Projects, Inc. (partners)</x:v>
      </x:c>
      <x:c r="N61" s="303" t="str">
        <x:v>The New Albany Company</x:v>
      </x:c>
      <x:c r="O61" s="303" t="str">
        <x:v>general partner; Jeffrey E. Epstein signs as Rocky Fork president</x:v>
      </x:c>
      <x:c r="P61" s="303" t="str">
        <x:v>Records amended New Albany partnership composition; no fee-title transfer.</x:v>
      </x:c>
      <x:c r="Q61" s="315" t="str">
        <x:v>The New Albany Company partner roster</x:v>
      </x:c>
      <x:c r="R61" s="303"/>
      <x:c r="S61" s="303"/>
      <x:c r="T61" s="309"/>
      <x:c r="U61" s="303"/>
      <x:c r="V61" s="303" t="str">
        <x:v>not applicable</x:v>
      </x:c>
      <x:c r="W61" s="303"/>
      <x:c r="X61" s="303"/>
      <x:c r="Y61" s="303"/>
    </x:row>
    <x:row r="62" ht="66" customHeight="1">
      <x:c r="A62" s="303" t="str">
        <x:v>Rocky Fork</x:v>
      </x:c>
      <x:c r="B62" s="315" t="str">
        <x:v>16</x:v>
      </x:c>
      <x:c r="C62" s="315" t="str">
        <x:v>exact_party_index</x:v>
      </x:c>
      <x:c r="D62" s="312" t="str">
        <x:v>123696474</x:v>
      </x:c>
      <x:c r="E62" s="312" t="str">
        <x:v>199201100047697</x:v>
      </x:c>
      <x:c r="F62" s="303" t="str">
        <x:v>1/10/1992</x:v>
      </x:c>
      <x:c r="G62" s="303"/>
      <x:c r="H62" s="303" t="str">
        <x:v>DE</x:v>
      </x:c>
      <x:c r="I62" s="303" t="str">
        <x:v>deed of easement</x:v>
      </x:c>
      <x:c r="J62" s="303" t="str">
        <x:v>18395J13</x:v>
      </x:c>
      <x:c r="K62" s="303" t="str">
        <x:v>ROCKY FORK DEVELOPMENT CORP</x:v>
      </x:c>
      <x:c r="L62" s="303" t="str">
        <x:v>COLUMBUS CITY OF; CITY OF COLUMBUS</x:v>
      </x:c>
      <x:c r="M62" s="303" t="str">
        <x:v>The New Albany Company</x:v>
      </x:c>
      <x:c r="N62" s="303" t="str">
        <x:v>City of Columbus</x:v>
      </x:c>
      <x:c r="O62" s="303" t="str">
        <x:v>general partner executing for New Albany</x:v>
      </x:c>
      <x:c r="P62" s="303" t="str">
        <x:v>Grants a perpetual sewer easement across a New Albany tract; Rocky Fork is representative, not a separate fee grantor.</x:v>
      </x:c>
      <x:c r="Q62" s="315" t="str">
        <x:v>Strip across 33.781-acre tract of record OR 14554 B14</x:v>
      </x:c>
      <x:c r="R62" s="303"/>
      <x:c r="S62" s="303" t="str">
        <x:v>0.650 acre</x:v>
      </x:c>
      <x:c r="T62" s="309"/>
      <x:c r="U62" s="303" t="str">
        <x:v>$1 and other good and valuable consideration</x:v>
      </x:c>
      <x:c r="V62" s="303" t="str">
        <x:v>no</x:v>
      </x:c>
      <x:c r="W62" s="303" t="str">
        <x:v>transfer not necessary / conveyance tax exempt</x:v>
      </x:c>
      <x:c r="X62" s="303" t="str">
        <x:v>OR 14554 B14</x:v>
      </x:c>
      <x:c r="Y62" s="303"/>
    </x:row>
    <x:row r="63" ht="66" customHeight="1">
      <x:c r="A63" s="303" t="str">
        <x:v>Rocky Fork</x:v>
      </x:c>
      <x:c r="B63" s="315" t="str">
        <x:v>17</x:v>
      </x:c>
      <x:c r="C63" s="315" t="str">
        <x:v>exact_party_index</x:v>
      </x:c>
      <x:c r="D63" s="312" t="str">
        <x:v>123721929</x:v>
      </x:c>
      <x:c r="E63" s="312" t="str">
        <x:v>199202240068274</x:v>
      </x:c>
      <x:c r="F63" s="303" t="str">
        <x:v>2/24/1992</x:v>
      </x:c>
      <x:c r="G63" s="303"/>
      <x:c r="H63" s="303" t="str">
        <x:v>EA</x:v>
      </x:c>
      <x:c r="I63" s="303" t="str">
        <x:v>deed of easement</x:v>
      </x:c>
      <x:c r="J63" s="303" t="str">
        <x:v>18692C06</x:v>
      </x:c>
      <x:c r="K63" s="303" t="str">
        <x:v>NEW ALBANY CO; ROCKY FORK DEVELOPMENT CORP</x:v>
      </x:c>
      <x:c r="L63" s="303" t="str">
        <x:v>VILLAGE OF NEW ALBANY; NEW ALBANY VILLAGE OF</x:v>
      </x:c>
      <x:c r="M63" s="303" t="str">
        <x:v>The New Albany Company</x:v>
      </x:c>
      <x:c r="N63" s="303" t="str">
        <x:v>Village of New Albany</x:v>
      </x:c>
      <x:c r="O63" s="303" t="str">
        <x:v>general partner executing for New Albany</x:v>
      </x:c>
      <x:c r="P63" s="303" t="str">
        <x:v>Grants a perpetual sewer easement over New Albany tracts; Rocky Fork is representative, not a separate fee grantor.</x:v>
      </x:c>
      <x:c r="Q63" s="315" t="str">
        <x:v>Strip across tracts of record OR 12808 F10 and OR 12850 I04</x:v>
      </x:c>
      <x:c r="R63" s="303" t="str">
        <x:v>Village of New Albany</x:v>
      </x:c>
      <x:c r="S63" s="303" t="str">
        <x:v>0.015 acre</x:v>
      </x:c>
      <x:c r="T63" s="309"/>
      <x:c r="U63" s="303" t="str">
        <x:v>$1 and other good and valuable consideration</x:v>
      </x:c>
      <x:c r="V63" s="303" t="str">
        <x:v>no</x:v>
      </x:c>
      <x:c r="W63" s="303" t="str">
        <x:v>transfer not necessary / conveyance tax exempt</x:v>
      </x:c>
      <x:c r="X63" s="303" t="str">
        <x:v>OR 12808 F10; OR 12850 I04</x:v>
      </x:c>
      <x:c r="Y63" s="303"/>
    </x:row>
    <x:row r="64" ht="66" customHeight="1">
      <x:c r="A64" s="303" t="str">
        <x:v>Rocky Fork</x:v>
      </x:c>
      <x:c r="B64" s="315" t="str">
        <x:v>18</x:v>
      </x:c>
      <x:c r="C64" s="315" t="str">
        <x:v>exact_party_index</x:v>
      </x:c>
      <x:c r="D64" s="312" t="str">
        <x:v>123721927</x:v>
      </x:c>
      <x:c r="E64" s="312" t="str">
        <x:v>199202240068275</x:v>
      </x:c>
      <x:c r="F64" s="303" t="str">
        <x:v>2/24/1992</x:v>
      </x:c>
      <x:c r="G64" s="303"/>
      <x:c r="H64" s="303" t="str">
        <x:v>EA</x:v>
      </x:c>
      <x:c r="I64" s="303" t="str">
        <x:v>deed of easement</x:v>
      </x:c>
      <x:c r="J64" s="303" t="str">
        <x:v>18692C10</x:v>
      </x:c>
      <x:c r="K64" s="303" t="str">
        <x:v>NEW ALBANY CO; ROCKY FORK DEVELOPMENT CORP</x:v>
      </x:c>
      <x:c r="L64" s="303" t="str">
        <x:v>NEW ALBANY VILLAGE OF; VILLAGE OF NEW ALBANY</x:v>
      </x:c>
      <x:c r="M64" s="303" t="str">
        <x:v>The New Albany Company</x:v>
      </x:c>
      <x:c r="N64" s="303" t="str">
        <x:v>Village of New Albany</x:v>
      </x:c>
      <x:c r="O64" s="303" t="str">
        <x:v>general partner executing for New Albany</x:v>
      </x:c>
      <x:c r="P64" s="303" t="str">
        <x:v>Grants a perpetual sewer easement over New Albany tracts; Rocky Fork is representative, not a separate fee grantor.</x:v>
      </x:c>
      <x:c r="Q64" s="315" t="str">
        <x:v>Strip across tracts of record OR 13258 B13 and OR 12808 F10</x:v>
      </x:c>
      <x:c r="R64" s="303" t="str">
        <x:v>Village of New Albany</x:v>
      </x:c>
      <x:c r="S64" s="303" t="str">
        <x:v>0.013 acre</x:v>
      </x:c>
      <x:c r="T64" s="309"/>
      <x:c r="U64" s="303" t="str">
        <x:v>$1 and other good and valuable consideration</x:v>
      </x:c>
      <x:c r="V64" s="303" t="str">
        <x:v>no</x:v>
      </x:c>
      <x:c r="W64" s="303" t="str">
        <x:v>transfer not necessary / conveyance tax exempt</x:v>
      </x:c>
      <x:c r="X64" s="303" t="str">
        <x:v>OR 13258 B13; OR 12808 F10</x:v>
      </x:c>
      <x:c r="Y64" s="303"/>
    </x:row>
    <x:row r="65" ht="66" customHeight="1">
      <x:c r="A65" s="303" t="str">
        <x:v>Rocky Fork</x:v>
      </x:c>
      <x:c r="B65" s="315" t="str">
        <x:v>19</x:v>
      </x:c>
      <x:c r="C65" s="315" t="str">
        <x:v>ocr_transition_family</x:v>
      </x:c>
      <x:c r="D65" s="312" t="str">
        <x:v>123930221</x:v>
      </x:c>
      <x:c r="E65" s="312" t="str">
        <x:v>199212080242107</x:v>
      </x:c>
      <x:c r="F65" s="303" t="str">
        <x:v>12/8/1992</x:v>
      </x:c>
      <x:c r="G65" s="303" t="str">
        <x:v>1992-12-01</x:v>
      </x:c>
      <x:c r="H65" s="303" t="str">
        <x:v>DECL</x:v>
      </x:c>
      <x:c r="I65" s="303" t="str">
        <x:v>designation of successor declarant</x:v>
      </x:c>
      <x:c r="J65" s="303" t="str">
        <x:v>21256D12</x:v>
      </x:c>
      <x:c r="K65" s="303" t="str">
        <x:v>NEW ALBANY CO</x:v>
      </x:c>
      <x:c r="L65" s="303" t="str">
        <x:v>NEW ALBANY CO LTD PARTNERSHIP</x:v>
      </x:c>
      <x:c r="M65" s="303" t="str">
        <x:v>The New Albany Company, Ohio general partnership</x:v>
      </x:c>
      <x:c r="N65" s="303" t="str">
        <x:v>The New Albany Company Limited Partnership, Delaware limited partnership</x:v>
      </x:c>
      <x:c r="O65" s="303" t="str">
        <x:v>Rocky Fork signs for outgoing partnership as general partner</x:v>
      </x:c>
      <x:c r="P65" s="303" t="str">
        <x:v>Transfers all declarant rights and obligations under the New Albany Country Club Community declaration to the Delaware LP.</x:v>
      </x:c>
      <x:c r="Q65" s="315" t="str">
        <x:v>New Albany Country Club Community declaration</x:v>
      </x:c>
      <x:c r="R65" s="303"/>
      <x:c r="S65" s="303"/>
      <x:c r="T65" s="309"/>
      <x:c r="U65" s="303"/>
      <x:c r="V65" s="303" t="str">
        <x:v>not applicable</x:v>
      </x:c>
      <x:c r="W65" s="303" t="str">
        <x:v>transfer not necessary / conveyance tax exempt</x:v>
      </x:c>
      <x:c r="X65" s="303" t="str">
        <x:v>Declaration OR 16185 C14</x:v>
      </x:c>
      <x:c r="Y65" s="303" t="str">
        <x:v>LP becomes successor declarant.</x:v>
      </x:c>
    </x:row>
    <x:row r="66" ht="66" customHeight="1">
      <x:c r="A66" s="303" t="str">
        <x:v>Rocky Fork</x:v>
      </x:c>
      <x:c r="B66" s="315" t="str">
        <x:v>20</x:v>
      </x:c>
      <x:c r="C66" s="315" t="str">
        <x:v>ocr_transition_family</x:v>
      </x:c>
      <x:c r="D66" s="312" t="str">
        <x:v>123930222</x:v>
      </x:c>
      <x:c r="E66" s="312" t="str">
        <x:v>199212080242108</x:v>
      </x:c>
      <x:c r="F66" s="303" t="str">
        <x:v>12/8/1992</x:v>
      </x:c>
      <x:c r="G66" s="303" t="str">
        <x:v>1992-12-01</x:v>
      </x:c>
      <x:c r="H66" s="303" t="str">
        <x:v>DECL</x:v>
      </x:c>
      <x:c r="I66" s="303" t="str">
        <x:v>designation of successor declarant</x:v>
      </x:c>
      <x:c r="J66" s="303" t="str">
        <x:v>21256D15</x:v>
      </x:c>
      <x:c r="K66" s="303" t="str">
        <x:v>NEW ALBANY CO</x:v>
      </x:c>
      <x:c r="L66" s="303" t="str">
        <x:v>NEW ALBANY CO LTD PARTNERSHIP</x:v>
      </x:c>
      <x:c r="M66" s="303" t="str">
        <x:v>The New Albany Company, Ohio general partnership</x:v>
      </x:c>
      <x:c r="N66" s="303" t="str">
        <x:v>The New Albany Company Limited Partnership, Delaware limited partnership</x:v>
      </x:c>
      <x:c r="O66" s="303" t="str">
        <x:v>Rocky Fork signs for outgoing partnership as general partner</x:v>
      </x:c>
      <x:c r="P66" s="303" t="str">
        <x:v>Transfers all declarant rights and obligations under the New Albany Communities declarations to the Delaware LP.</x:v>
      </x:c>
      <x:c r="Q66" s="315" t="str">
        <x:v>New Albany Communities declaration</x:v>
      </x:c>
      <x:c r="R66" s="303" t="str">
        <x:v>Franklin and Licking counties</x:v>
      </x:c>
      <x:c r="S66" s="303"/>
      <x:c r="T66" s="309"/>
      <x:c r="U66" s="303"/>
      <x:c r="V66" s="303" t="str">
        <x:v>not applicable</x:v>
      </x:c>
      <x:c r="W66" s="303" t="str">
        <x:v>transfer not necessary / conveyance tax exempt</x:v>
      </x:c>
      <x:c r="X66" s="303" t="str">
        <x:v>Franklin OR 16185 A01; Licking OR 356 p485</x:v>
      </x:c>
      <x:c r="Y66" s="303" t="str">
        <x:v>LP becomes successor declarant.</x:v>
      </x:c>
    </x:row>
    <x:row r="67" ht="66" customHeight="1">
      <x:c r="A67" s="303" t="str">
        <x:v>Rocky Fork</x:v>
      </x:c>
      <x:c r="B67" s="315" t="str">
        <x:v>21</x:v>
      </x:c>
      <x:c r="C67" s="315" t="str">
        <x:v>ocr_transition_family</x:v>
      </x:c>
      <x:c r="D67" s="312" t="str">
        <x:v>123930224</x:v>
      </x:c>
      <x:c r="E67" s="312" t="str">
        <x:v>199212080242109</x:v>
      </x:c>
      <x:c r="F67" s="303" t="str">
        <x:v>12/8/1992</x:v>
      </x:c>
      <x:c r="G67" s="303" t="str">
        <x:v>1992-12-01</x:v>
      </x:c>
      <x:c r="H67" s="303" t="str">
        <x:v>DECL</x:v>
      </x:c>
      <x:c r="I67" s="303" t="str">
        <x:v>designation of successor private developer</x:v>
      </x:c>
      <x:c r="J67" s="303" t="str">
        <x:v>21256D18</x:v>
      </x:c>
      <x:c r="K67" s="303" t="str">
        <x:v>NEW ALBANY CO</x:v>
      </x:c>
      <x:c r="L67" s="303" t="str">
        <x:v>NEW ALBANY CO LTD PARTNERSHIP</x:v>
      </x:c>
      <x:c r="M67" s="303" t="str">
        <x:v>The New Albany Company, Ohio general partnership</x:v>
      </x:c>
      <x:c r="N67" s="303" t="str">
        <x:v>The New Albany Company Limited Partnership, Delaware limited partnership</x:v>
      </x:c>
      <x:c r="O67" s="303" t="str">
        <x:v>Rocky Fork signs for outgoing partnership as general partner</x:v>
      </x:c>
      <x:c r="P67" s="303" t="str">
        <x:v>Transfers all private-developer rights and obligations under the New Albany Community Authority declaration to the Delaware LP.</x:v>
      </x:c>
      <x:c r="Q67" s="315" t="str">
        <x:v>New Albany Community Authority declaration</x:v>
      </x:c>
      <x:c r="R67" s="303"/>
      <x:c r="S67" s="303"/>
      <x:c r="T67" s="309"/>
      <x:c r="U67" s="303"/>
      <x:c r="V67" s="303" t="str">
        <x:v>not applicable</x:v>
      </x:c>
      <x:c r="W67" s="303" t="str">
        <x:v>transfer not necessary / conveyance tax exempt</x:v>
      </x:c>
      <x:c r="X67" s="303" t="str">
        <x:v>Declaration OR 16999 C04</x:v>
      </x:c>
      <x:c r="Y67" s="303" t="str">
        <x:v>LP becomes successor private developer.</x:v>
      </x:c>
    </x:row>
    <x:row r="68" ht="66" customHeight="1">
      <x:c r="A68" s="303" t="str">
        <x:v>Rocky Fork</x:v>
      </x:c>
      <x:c r="B68" s="315" t="str">
        <x:v>22</x:v>
      </x:c>
      <x:c r="C68" s="315" t="str">
        <x:v>ocr_transition_family</x:v>
      </x:c>
      <x:c r="D68" s="312" t="str">
        <x:v>123930167</x:v>
      </x:c>
      <x:c r="E68" s="312" t="str">
        <x:v>199212080242110</x:v>
      </x:c>
      <x:c r="F68" s="303" t="str">
        <x:v>12/8/1992</x:v>
      </x:c>
      <x:c r="G68" s="303" t="str">
        <x:v>1992-12-01</x:v>
      </x:c>
      <x:c r="H68" s="303" t="str">
        <x:v>DE</x:v>
      </x:c>
      <x:c r="I68" s="303" t="str">
        <x:v>confirmatory general-warranty deed</x:v>
      </x:c>
      <x:c r="J68" s="303" t="str">
        <x:v>21256E01</x:v>
      </x:c>
      <x:c r="K68" s="303" t="str">
        <x:v>NEW ALBANY CO</x:v>
      </x:c>
      <x:c r="L68" s="303" t="str">
        <x:v>NEW ALBANY CO LTD PARTNERSHIP</x:v>
      </x:c>
      <x:c r="M68" s="303" t="str">
        <x:v>The New Albany Company, Ohio general partnership</x:v>
      </x:c>
      <x:c r="N68" s="303" t="str">
        <x:v>The New Albany Company Limited Partnership, Delaware limited partnership</x:v>
      </x:c>
      <x:c r="O68" s="303" t="str">
        <x:v>Rocky Fork was a New Albany general partner before reorganization; became a limited partner effective 1992-12-01</x:v>
      </x:c>
      <x:c r="P68" s="303" t="str">
        <x:v>Confirms the Delaware LP as fee-simple owner of all Franklin County real property owned by the Ohio partnership and as continuation/successor to all real and personal property.</x:v>
      </x:c>
      <x:c r="Q68" s="315" t="str">
        <x:v>All Franklin County, Ohio real property owned by The New Albany Company</x:v>
      </x:c>
      <x:c r="R68" s="303" t="str">
        <x:v>Franklin County</x:v>
      </x:c>
      <x:c r="S68" s="303" t="str">
        <x:v>all holdings; no legal descriptions or acreage stated</x:v>
      </x:c>
      <x:c r="T68" s="309"/>
      <x:c r="U68" s="303" t="str">
        <x:v>purposes described in deed</x:v>
      </x:c>
      <x:c r="V68" s="303" t="str">
        <x:v>no</x:v>
      </x:c>
      <x:c r="W68" s="303" t="str">
        <x:v>conveyance tax exempt; transfer not necessary</x:v>
      </x:c>
      <x:c r="X68" s="303"/>
      <x:c r="Y68" s="303" t="str">
        <x:v>Reorganized LP is “a continuation of, and in all respects and for all purposes the successor to” the Ohio partnership.</x:v>
      </x:c>
    </x:row>
    <x:row r="69" ht="66" customHeight="1">
      <x:c r="A69" s="303" t="str">
        <x:v>Rocky Fork</x:v>
      </x:c>
      <x:c r="B69" s="315" t="str">
        <x:v>23</x:v>
      </x:c>
      <x:c r="C69" s="315" t="str">
        <x:v>ocr_transition_family</x:v>
      </x:c>
      <x:c r="D69" s="312" t="str">
        <x:v>123937735</x:v>
      </x:c>
      <x:c r="E69" s="312" t="str">
        <x:v>199212180247730</x:v>
      </x:c>
      <x:c r="F69" s="303" t="str">
        <x:v>12/18/1992</x:v>
      </x:c>
      <x:c r="G69" s="303" t="str">
        <x:v>1992-12-01</x:v>
      </x:c>
      <x:c r="H69" s="303" t="str">
        <x:v>AF</x:v>
      </x:c>
      <x:c r="I69" s="303" t="str">
        <x:v>designation of successor declarant</x:v>
      </x:c>
      <x:c r="J69" s="303" t="str">
        <x:v>21340G17</x:v>
      </x:c>
      <x:c r="K69" s="303" t="str">
        <x:v>NEW ALBANY CO</x:v>
      </x:c>
      <x:c r="L69" s="303" t="str">
        <x:v>NEW ALBANY CO LTD PARTNERSHIP</x:v>
      </x:c>
      <x:c r="M69" s="303" t="str">
        <x:v>The New Albany Company, Ohio general partnership</x:v>
      </x:c>
      <x:c r="N69" s="303" t="str">
        <x:v>The New Albany Company Limited Partnership, Delaware limited partnership</x:v>
      </x:c>
      <x:c r="O69" s="303" t="str">
        <x:v>Rocky Fork signs for outgoing partnership as general partner</x:v>
      </x:c>
      <x:c r="P69" s="303" t="str">
        <x:v>Transfers all declarant rights and obligations under the New Albany Farms declaration to the Delaware LP.</x:v>
      </x:c>
      <x:c r="Q69" s="315" t="str">
        <x:v>New Albany Farms declaration</x:v>
      </x:c>
      <x:c r="R69" s="303"/>
      <x:c r="S69" s="303"/>
      <x:c r="T69" s="309"/>
      <x:c r="U69" s="303"/>
      <x:c r="V69" s="303" t="str">
        <x:v>not applicable</x:v>
      </x:c>
      <x:c r="W69" s="303"/>
      <x:c r="X69" s="303" t="str">
        <x:v>Declaration OR 17519 A02</x:v>
      </x:c>
      <x:c r="Y69" s="303" t="str">
        <x:v>LP becomes successor declarant.</x:v>
      </x:c>
    </x:row>
    <x:row r="70" ht="66" customHeight="1">
      <x:c r="A70" s="303" t="str">
        <x:v>Rocky Fork</x:v>
      </x:c>
      <x:c r="B70" s="315" t="str">
        <x:v>24</x:v>
      </x:c>
      <x:c r="C70" s="315" t="str">
        <x:v>ocr_transition_family</x:v>
      </x:c>
      <x:c r="D70" s="312" t="str">
        <x:v>123937752</x:v>
      </x:c>
      <x:c r="E70" s="312" t="str">
        <x:v>199212180247731</x:v>
      </x:c>
      <x:c r="F70" s="303" t="str">
        <x:v>12/18/1992</x:v>
      </x:c>
      <x:c r="G70" s="303" t="str">
        <x:v>1992-12-01</x:v>
      </x:c>
      <x:c r="H70" s="303" t="str">
        <x:v>AF</x:v>
      </x:c>
      <x:c r="I70" s="303" t="str">
        <x:v>designation of successor declarant</x:v>
      </x:c>
      <x:c r="J70" s="303" t="str">
        <x:v>21340G20</x:v>
      </x:c>
      <x:c r="K70" s="303" t="str">
        <x:v>NEW ALBANY CO</x:v>
      </x:c>
      <x:c r="L70" s="303" t="str">
        <x:v>NEW ALBANY CO LTD PARTNERSHIP</x:v>
      </x:c>
      <x:c r="M70" s="303" t="str">
        <x:v>The New Albany Company, Ohio general partnership</x:v>
      </x:c>
      <x:c r="N70" s="303" t="str">
        <x:v>The New Albany Company Limited Partnership, Delaware limited partnership</x:v>
      </x:c>
      <x:c r="O70" s="303" t="str">
        <x:v>Rocky Fork signs for outgoing partnership as general partner</x:v>
      </x:c>
      <x:c r="P70" s="303" t="str">
        <x:v>Transfers all declarant rights and obligations under the Edge of Woods declaration to the Delaware LP.</x:v>
      </x:c>
      <x:c r="Q70" s="315" t="str">
        <x:v>Edge of Woods declaration</x:v>
      </x:c>
      <x:c r="R70" s="303"/>
      <x:c r="S70" s="303"/>
      <x:c r="T70" s="309"/>
      <x:c r="U70" s="303"/>
      <x:c r="V70" s="303" t="str">
        <x:v>not applicable</x:v>
      </x:c>
      <x:c r="W70" s="303"/>
      <x:c r="X70" s="303" t="str">
        <x:v>Declaration OR 20668 E20</x:v>
      </x:c>
      <x:c r="Y70" s="303" t="str">
        <x:v>LP becomes successor declarant.</x:v>
      </x:c>
    </x:row>
    <x:row r="71" ht="66" customHeight="1">
      <x:c r="A71" s="303" t="str">
        <x:v>Rocky Fork</x:v>
      </x:c>
      <x:c r="B71" s="315" t="str">
        <x:v>25</x:v>
      </x:c>
      <x:c r="C71" s="315" t="str">
        <x:v>cross_book_marginal_collision</x:v>
      </x:c>
      <x:c r="D71" s="312" t="str">
        <x:v>125422276</x:v>
      </x:c>
      <x:c r="E71" s="312" t="str">
        <x:v>199806160149251</x:v>
      </x:c>
      <x:c r="F71" s="303" t="str">
        <x:v>6/16/1998</x:v>
      </x:c>
      <x:c r="G71" s="303" t="str">
        <x:v>1998-06</x:v>
      </x:c>
      <x:c r="H71" s="303" t="str">
        <x:v>REMO</x:v>
      </x:c>
      <x:c r="I71" s="303" t="str">
        <x:v>release of mortgage</x:v>
      </x:c>
      <x:c r="J71" s="303"/>
      <x:c r="K71" s="303" t="str">
        <x:v>HINSON C CHARLEEN; HINSON CHARLES W</x:v>
      </x:c>
      <x:c r="L71" s="303" t="str">
        <x:v>NEW ALBANY CO</x:v>
      </x:c>
      <x:c r="M71" s="303" t="str">
        <x:v>The New Albany Company (mortgagee/releasor)</x:v>
      </x:c>
      <x:c r="N71" s="303" t="str">
        <x:v>Charles W. Hinson and C. Charleen Hinson (mortgagors)</x:v>
      </x:c>
      <x:c r="O71" s="303" t="str">
        <x:v>none; image does not mention Rocky Fork</x:v>
      </x:c>
      <x:c r="P71" s="303" t="str">
        <x:v>Releases a New Albany mortgage on Hinson property; no Rocky Fork title, debt, or post-dissolution action.</x:v>
      </x:c>
      <x:c r="Q71" s="315" t="str">
        <x:v>Hinson property</x:v>
      </x:c>
      <x:c r="R71" s="303" t="str">
        <x:v>Plain Township</x:v>
      </x:c>
      <x:c r="S71" s="303" t="str">
        <x:v>24.642 acres</x:v>
      </x:c>
      <x:c r="T71" s="309"/>
      <x:c r="U71" s="303" t="str">
        <x:v>valuable consideration acknowledged</x:v>
      </x:c>
      <x:c r="V71" s="303" t="str">
        <x:v>no</x:v>
      </x:c>
      <x:c r="W71" s="303"/>
      <x:c r="X71" s="303" t="str">
        <x:v>Mortgage Records 10996 H09</x:v>
      </x:c>
      <x:c r="Y71" s="303"/>
    </x:row>
    <x:row r="72" ht="66" customHeight="1">
      <x:c r="A72" s="303" t="str">
        <x:v>Morsham</x:v>
      </x:c>
      <x:c r="B72" s="315" t="str">
        <x:v>198801060052123</x:v>
      </x:c>
      <x:c r="C72" s="315" t="str">
        <x:v>130328493</x:v>
      </x:c>
      <x:c r="D72" s="312" t="n">
        <x:v>32148.5</x:v>
      </x:c>
      <x:c r="E72" s="312" t="n">
        <x:v>32133.5</x:v>
      </x:c>
      <x:c r="F72" s="303" t="str">
        <x:v>General Warranty Deed</x:v>
      </x:c>
      <x:c r="G72" s="303" t="str">
        <x:v>Kent H. Brandt; Leland F. Brubaker; Richard C. Pickett; James G. Pierce; spouses Jean C. Brandt, Nancy P. Pickett, and Marie K. Pierce release dower</x:v>
      </x:c>
      <x:c r="H72" s="303" t="str">
        <x:v>Morsham Land Corporation</x:v>
      </x:c>
      <x:c r="I72" s="303" t="str">
        <x:v>No successor wording. The deed is the original acquisition in this reviewed chain and identifies Morsham's tax-mailing contact as c/o Dorothy Snow.</x:v>
      </x:c>
      <x:c r="J72" s="303" t="str">
        <x:v>Valuable consideration paid, amount unstated in deed text; recorder conveyance-tax stamp $1,754.50. The tax is not stated purchase price.</x:v>
      </x:c>
      <x:c r="K72" s="303" t="str">
        <x:v>Individual grantors signed; no Morsham officer signs because Morsham is grantee.</x:v>
      </x:c>
      <x:c r="L72" s="303" t="str">
        <x:v>Mary Helen Gallagher</x:v>
      </x:c>
      <x:c r="M72" s="303" t="str">
        <x:v>David K. Conrad, Bricker &amp; Eckler, 100 South Third Street, Columbus, Ohio 43215</x:v>
      </x:c>
      <x:c r="N72" s="303" t="str">
        <x:v>Morsham tax mailing: c/o Dorothy Snow, Huntington Center, 41 South High Street, Suite 2300, Columbus, Ohio 43215</x:v>
      </x:c>
      <x:c r="O72" s="303" t="str">
        <x:v>50.086 acres in Blendon Township, Franklin County; subject to listed matters of record.</x:v>
      </x:c>
      <x:c r="P72" s="303" t="str">
        <x:v>545-147940; 545-147941</x:v>
      </x:c>
      <x:c r="Q72" s="315" t="str">
        <x:v>Prior deed Volume 2908, Page 366; OR 11024A15; marginal link to 201604220049452.</x:v>
      </x:c>
      <x:c r="R72" s="303" t="str">
        <x:v>MATERIAL ACQUISITION. It places the 50.086-acre tract in Morsham and directly links Dorothy Snow to the entity as tax-mailing contact. It does not show her as owner or officer.</x:v>
      </x:c>
      <x:c r="S72" s="303" t="str">
        <x:v>https://franklin.oh.publicsearch.us/doc/130328493?department=RP</x:v>
      </x:c>
      <x:c r="T72" s="309" t="str">
        <x:v>4</x:v>
      </x:c>
      <x:c r="U72" s="303" t="str">
        <x:v>OCR completed for every page.</x:v>
      </x:c>
      <x:c r="V72" s="303" t="str">
        <x:v>1-4</x:v>
      </x:c>
      <x:c r="W72" s="303" t="str">
        <x:v>Primary recorder images; every page OCRed; deed face, legal description, execution, acknowledgment, preparation line, acreage, parcels, address, tax stamp, and recording date visually verified.</x:v>
      </x:c>
      <x:c r="X72" s="303" t="str">
        <x:v>/private/tmp/osint-7Vd0k25d/morsham-images/198801060052123</x:v>
      </x:c>
      <x:c r="Y72" s="303" t="str">
        <x:v>/private/tmp/osint-7Vd0k25d/morsham-images/198801060052123/ocr</x:v>
      </x:c>
    </x:row>
    <x:row r="73" ht="66" customHeight="1">
      <x:c r="A73" s="303" t="str">
        <x:v>Morsham</x:v>
      </x:c>
      <x:c r="B73" s="315" t="str">
        <x:v>199405110136038</x:v>
      </x:c>
      <x:c r="C73" s="315" t="str">
        <x:v>124357460</x:v>
      </x:c>
      <x:c r="D73" s="312" t="n">
        <x:v>34465.5</x:v>
      </x:c>
      <x:c r="E73" s="312" t="n">
        <x:v>34451.5</x:v>
      </x:c>
      <x:c r="F73" s="303" t="str">
        <x:v>Easement</x:v>
      </x:c>
      <x:c r="G73" s="303" t="str">
        <x:v>Morsham Land Corporation</x:v>
      </x:c>
      <x:c r="H73" s="303" t="str">
        <x:v>Columbia Gas of Ohio, Inc.</x:v>
      </x:c>
      <x:c r="I73" s="303" t="str">
        <x:v>Morsham acts as owner/grantor; no merger or successor wording.</x:v>
      </x:c>
      <x:c r="J73" s="303" t="str">
        <x:v>$1 and other good and valuable consideration.</x:v>
      </x:c>
      <x:c r="K73" s="303" t="str">
        <x:v>Gary Kerney — President, Morsham Land Corporation</x:v>
      </x:c>
      <x:c r="L73" s="303" t="str">
        <x:v>Carol A. Robey</x:v>
      </x:c>
      <x:c r="M73" s="303" t="str">
        <x:v>Columbia Gas of Ohio, Inc.</x:v>
      </x:c>
      <x:c r="N73" s="303" t="str">
        <x:v>Return: Columbia Gas of Ohio, Inc., P.O. Box 117, Columbus, Ohio 43216-0117</x:v>
      </x:c>
      <x:c r="O73" s="303" t="str">
        <x:v>Twenty-foot gas-pipeline easement across the Hamilton Road frontage of an underlying 48.21-acre tract sourced to OR 11024A15.</x:v>
      </x:c>
      <x:c r="P73" s="303" t="str">
        <x:v>545-147940; 545-147941</x:v>
      </x:c>
      <x:c r="Q73" s="315" t="str">
        <x:v>Morsham source deed OR 11024A15.</x:v>
      </x:c>
      <x:c r="R73" s="303" t="str">
        <x:v>MATERIAL OPERATIONAL RECORD. It confirms Morsham actively burdened the original tract in 1994 and identifies Gary Kerney as president.</x:v>
      </x:c>
      <x:c r="S73" s="303" t="str">
        <x:v>https://franklin.oh.publicsearch.us/doc/124357460?department=RP</x:v>
      </x:c>
      <x:c r="T73" s="309" t="str">
        <x:v>3</x:v>
      </x:c>
      <x:c r="U73" s="303" t="str">
        <x:v>OCR completed for every page.</x:v>
      </x:c>
      <x:c r="V73" s="303" t="str">
        <x:v>1-3</x:v>
      </x:c>
      <x:c r="W73" s="303" t="str">
        <x:v>Primary recorder images; every page OCRed; grant, legal description, signature, acknowledgment, preparer, and return address visually verified.</x:v>
      </x:c>
      <x:c r="X73" s="303" t="str">
        <x:v>/private/tmp/osint-7Vd0k25d/morsham-images/199405110136038</x:v>
      </x:c>
      <x:c r="Y73" s="303" t="str">
        <x:v>/private/tmp/osint-7Vd0k25d/morsham-images/199405110136038/ocr</x:v>
      </x:c>
    </x:row>
    <x:row r="74" ht="66" customHeight="1">
      <x:c r="A74" s="303" t="str">
        <x:v>Morsham</x:v>
      </x:c>
      <x:c r="B74" s="315" t="str">
        <x:v>199503030071294</x:v>
      </x:c>
      <x:c r="C74" s="315" t="str">
        <x:v>124553156</x:v>
      </x:c>
      <x:c r="D74" s="312" t="n">
        <x:v>34761.5</x:v>
      </x:c>
      <x:c r="E74" s="312" t="n">
        <x:v>34751.5</x:v>
      </x:c>
      <x:c r="F74" s="303" t="str">
        <x:v>Storm-sewer Easement</x:v>
      </x:c>
      <x:c r="G74" s="303" t="str">
        <x:v>Morsham Land Corporation</x:v>
      </x:c>
      <x:c r="H74" s="303" t="str">
        <x:v>City of Columbus</x:v>
      </x:c>
      <x:c r="I74" s="303" t="str">
        <x:v>Morsham acts as owner/grantor; no merger or successor wording.</x:v>
      </x:c>
      <x:c r="J74" s="303" t="str">
        <x:v>$1 and other good and valuable consideration.</x:v>
      </x:c>
      <x:c r="K74" s="303" t="str">
        <x:v>Gary Kerney — President, Morsham Land Corporation</x:v>
      </x:c>
      <x:c r="L74" s="303" t="str">
        <x:v>Georgene A. Feather</x:v>
      </x:c>
      <x:c r="M74" s="303" t="str">
        <x:v>City of Columbus Department of Law, Richard A. Pieplow, Real Estate Attorney, for Division of Sewers and Drains</x:v>
      </x:c>
      <x:c r="N74" s="303" t="str">
        <x:v>Return: City Attorney, Real Estate Division, 109 North Front Street, Columbus, Ohio 43215</x:v>
      </x:c>
      <x:c r="O74" s="303" t="str">
        <x:v>0.360-acre storm-sewer easement across the Morsham tract in Quarter Township 4, Township 2, Range 17; project SR 161 and Hamilton Road Storm Sewer CC-9157-2.</x:v>
      </x:c>
      <x:c r="P74" s="303" t="str">
        <x:v>Not stated on face; parent tract is the OR 11024A15 property.</x:v>
      </x:c>
      <x:c r="Q74" s="315" t="str">
        <x:v>Morsham source deed OR 11024A15.</x:v>
      </x:c>
      <x:c r="R74" s="303" t="str">
        <x:v>MATERIAL OPERATIONAL RECORD. It confirms Morsham granted a municipal storm-sewer easement shortly before the 1995 merger date.</x:v>
      </x:c>
      <x:c r="S74" s="303" t="str">
        <x:v>https://franklin.oh.publicsearch.us/doc/124553156?department=RP</x:v>
      </x:c>
      <x:c r="T74" s="309" t="str">
        <x:v>4</x:v>
      </x:c>
      <x:c r="U74" s="303" t="str">
        <x:v>OCR completed for every page.</x:v>
      </x:c>
      <x:c r="V74" s="303" t="str">
        <x:v>1-4</x:v>
      </x:c>
      <x:c r="W74" s="303" t="str">
        <x:v>Primary recorder images; every page OCRed; deed face, execution, acknowledgment, legal description, map, transfer-exempt notation, preparer, and return address visually verified.</x:v>
      </x:c>
      <x:c r="X74" s="303" t="str">
        <x:v>/private/tmp/osint-7Vd0k25d/morsham-images/199503030071294</x:v>
      </x:c>
      <x:c r="Y74" s="303" t="str">
        <x:v>/private/tmp/osint-7Vd0k25d/morsham-images/199503030071294/ocr</x:v>
      </x:c>
    </x:row>
    <x:row r="75" ht="66" customHeight="1">
      <x:c r="A75" s="303" t="str">
        <x:v>Morsham</x:v>
      </x:c>
      <x:c r="B75" s="315" t="str">
        <x:v>199507100139365</x:v>
      </x:c>
      <x:c r="C75" s="315" t="str">
        <x:v>124636353</x:v>
      </x:c>
      <x:c r="D75" s="312" t="str">
        <x:v>1995-07-10 14:33</x:v>
      </x:c>
      <x:c r="E75" s="312" t="n">
        <x:v>34887.5</x:v>
      </x:c>
      <x:c r="F75" s="303" t="str">
        <x:v>Deed of Easement and Agreement</x:v>
      </x:c>
      <x:c r="G75" s="303" t="str">
        <x:v>The Qualstan Corporation; The New Albany Company Limited Partnership; Black Sheep Farms, Inc.; Morsham Land Corporation</x:v>
      </x:c>
      <x:c r="H75" s="303" t="str">
        <x:v>The same four parties in reciprocal roles under the access-easement agreement</x:v>
      </x:c>
      <x:c r="I75" s="303" t="str">
        <x:v>Morsham is expressly called fee-simple owner of Tract II, labeled the New Albany Property. The document predates the asserted 1995-12-29 merger and contains no successor wording.</x:v>
      </x:c>
      <x:c r="J75" s="303" t="str">
        <x:v>Transfer exempt; operative consideration arises from the parties' access and maintenance covenants rather than a stated purchase price.</x:v>
      </x:c>
      <x:c r="K75" s="303" t="str">
        <x:v>Don C. Eyrager — President, Qualstan; Gary Kerney — Authorized Representative, New Albany; Gary Kerney — President, Black Sheep; William R. Westbrook — Vice President, Morsham</x:v>
      </x:c>
      <x:c r="L75" s="303" t="str">
        <x:v>Meta J. Stokes</x:v>
      </x:c>
      <x:c r="M75" s="303" t="str">
        <x:v>Daniel H. Schoedinger, Vorys, Sater, Seymour and Pease, 52 East Gay Street, P.O. Box 1008, Columbus, Ohio 43216</x:v>
      </x:c>
      <x:c r="N75" s="303" t="str">
        <x:v>Qualstan: 1827 O'Brien Road; New Albany, Black Sheep, and Morsham: 5906 East Dublin-Granville Road, New Albany, Ohio 43054</x:v>
      </x:c>
      <x:c r="O75" s="303" t="str">
        <x:v>Access easements connect Qualstan's 58.209-acre tract across the Other Property; Black Sheep owns 20.810-acre Tract I and Morsham owns Tract II, the original 50.086-acre tract.</x:v>
      </x:c>
      <x:c r="P75" s="303" t="str">
        <x:v>Morsham parent parcels 545-147940; 545-147941</x:v>
      </x:c>
      <x:c r="Q75" s="315" t="str">
        <x:v>Morsham source deed OR 11024A15; legal exhibits and drawing identify the related tracts.</x:v>
      </x:c>
      <x:c r="R75" s="303" t="str">
        <x:v>MATERIAL CLUSTER RECORD. It directly shows Morsham as fee owner while sharing the 5906 address and a coordinated easement instrument with New Albany and Black Sheep; this is operational linkage, not proof of common ownership.</x:v>
      </x:c>
      <x:c r="S75" s="303" t="str">
        <x:v>https://franklin.oh.publicsearch.us/doc/124636353?department=RP</x:v>
      </x:c>
      <x:c r="T75" s="309" t="str">
        <x:v>18</x:v>
      </x:c>
      <x:c r="U75" s="303" t="str">
        <x:v>OCR completed for every page.</x:v>
      </x:c>
      <x:c r="V75" s="303" t="str">
        <x:v>1-3; 11-13; 16-18</x:v>
      </x:c>
      <x:c r="W75" s="303" t="str">
        <x:v>Primary recorder images; every page OCRed; parties, addresses, ownership recitals, easement terms, execution pages, legal descriptions, map, and return/preparation block visually reviewed.</x:v>
      </x:c>
      <x:c r="X75" s="303" t="str">
        <x:v>/private/tmp/osint-7Vd0k25d/morsham-images/199507100139365</x:v>
      </x:c>
      <x:c r="Y75" s="303" t="str">
        <x:v>/private/tmp/osint-7Vd0k25d/morsham-images/199507100139365/ocr</x:v>
      </x:c>
    </x:row>
    <x:row r="76" ht="66" customHeight="1">
      <x:c r="A76" s="303" t="str">
        <x:v>Morsham</x:v>
      </x:c>
      <x:c r="B76" s="315" t="str">
        <x:v>199610230215504</x:v>
      </x:c>
      <x:c r="C76" s="315" t="str">
        <x:v>124962985</x:v>
      </x:c>
      <x:c r="D76" s="312" t="str">
        <x:v>1996-10-23 09:10</x:v>
      </x:c>
      <x:c r="E76" s="312" t="n">
        <x:v>35195.5</x:v>
      </x:c>
      <x:c r="F76" s="303" t="str">
        <x:v>Deed of Easement and Modification of Restrictions</x:v>
      </x:c>
      <x:c r="G76" s="303" t="str">
        <x:v>Board of Park Commissioners of the Columbus and Franklin County Metropolitan Park District and Morsham Land Corporation n.k.a. Eastern Ohio Holding Company, Inc.</x:v>
      </x:c>
      <x:c r="H76" s="303" t="str">
        <x:v>The same parties under reciprocal modification and easement covenants</x:v>
      </x:c>
      <x:c r="I76" s="303" t="str">
        <x:v>The face names the owner as "MORSHAM LAND CORPORATION, n.k.a. EASTERN OHIO HOLDING COMPANY, INC." This is a recorder-instrument recital, not the statutory merger certificate.</x:v>
      </x:c>
      <x:c r="J76" s="303" t="str">
        <x:v>$1 and other good and valuable consideration paid by Owner to the Park District.</x:v>
      </x:c>
      <x:c r="K76" s="303" t="str">
        <x:v>Roger D. Hubbell — Director-Secretary, Park District; Gary Kerney — Vice President, Eastern Ohio Holding Company, Inc.</x:v>
      </x:c>
      <x:c r="L76" s="303" t="str">
        <x:v>Janice P. Mosher; Georgene A. Feather</x:v>
      </x:c>
      <x:c r="M76" s="303" t="str">
        <x:v>Eastern Ohio Holding Company, Inc., 5906 East Dublin-Granville Road, New Albany, Ohio 43054</x:v>
      </x:c>
      <x:c r="N76" s="303" t="str">
        <x:v>Prepared by and return to Eastern Ohio Holding Company, Inc., 5906 East Dublin-Granville Road, New Albany, Ohio 43054</x:v>
      </x:c>
      <x:c r="O76" s="303" t="str">
        <x:v>The 50.086-acre owner tract from OR 11024A15; modifies 1977 restrictions and grants a perpetual open-space easement over 7.134 acres.</x:v>
      </x:c>
      <x:c r="P76" s="303" t="str">
        <x:v>Parent parcels 545-147940; 545-147941</x:v>
      </x:c>
      <x:c r="Q76" s="315" t="str">
        <x:v>Deed Book 3599, Page 258; Morsham source OR 11024A15; modified by 199709090089524.</x:v>
      </x:c>
      <x:c r="R76" s="303" t="str">
        <x:v>MATERIAL CAPACITY RECITAL. It is the first reviewed recorder document linking the Morsham name to Eastern Ohio after the asserted merger date, but the wording is n.k.a. rather than statutory-survivor proof.</x:v>
      </x:c>
      <x:c r="S76" s="303" t="str">
        <x:v>https://franklin.oh.publicsearch.us/doc/124962985?department=RP</x:v>
      </x:c>
      <x:c r="T76" s="309" t="str">
        <x:v>9</x:v>
      </x:c>
      <x:c r="U76" s="303" t="str">
        <x:v>OCR completed for every page.</x:v>
      </x:c>
      <x:c r="V76" s="303" t="str">
        <x:v>1-9</x:v>
      </x:c>
      <x:c r="W76" s="303" t="str">
        <x:v>Primary recorder images; every page OCRed; title/party recital, legal, easement, restrictions, signers, acknowledgments, preparation/return, and marginal-reference notation visually verified.</x:v>
      </x:c>
      <x:c r="X76" s="303" t="str">
        <x:v>/private/tmp/osint-7Vd0k25d/morsham-images/199610230215504</x:v>
      </x:c>
      <x:c r="Y76" s="303" t="str">
        <x:v>/private/tmp/osint-7Vd0k25d/morsham-images/199610230215504/ocr</x:v>
      </x:c>
    </x:row>
    <x:row r="77" ht="66" customHeight="1">
      <x:c r="A77" s="303" t="str">
        <x:v>Morsham</x:v>
      </x:c>
      <x:c r="B77" s="315" t="str">
        <x:v>199611150229244</x:v>
      </x:c>
      <x:c r="C77" s="315" t="str">
        <x:v>124978481</x:v>
      </x:c>
      <x:c r="D77" s="312" t="str">
        <x:v>1996-11-15 15:35</x:v>
      </x:c>
      <x:c r="E77" s="312" t="n">
        <x:v>35384.5</x:v>
      </x:c>
      <x:c r="F77" s="303" t="str">
        <x:v>General Warranty Deed</x:v>
      </x:c>
      <x:c r="G77" s="303" t="str">
        <x:v>Eastern Ohio Holding Company, Inc., an Ohio corporation, successor by merger to Morsham Land Corporation</x:v>
      </x:c>
      <x:c r="H77" s="303" t="str">
        <x:v>The New Albany Company Limited Partnership, a Delaware limited partnership</x:v>
      </x:c>
      <x:c r="I77" s="303" t="str">
        <x:v>The deed face expressly calls Eastern Ohio "successor by merger to Morsham Land Corporation." This is a grantor recital in a recorded deed, not the missing Ohio statutory merger filing.</x:v>
      </x:c>
      <x:c r="J77" s="303" t="str">
        <x:v>$1 and other good and valuable consideration; transfer exempt.</x:v>
      </x:c>
      <x:c r="K77" s="303" t="str">
        <x:v>William W. Vaughan — President, Eastern Ohio Holding Company, Inc.</x:v>
      </x:c>
      <x:c r="L77" s="303" t="str">
        <x:v>Georgene A. Feather</x:v>
      </x:c>
      <x:c r="M77" s="303" t="str">
        <x:v>William W. Spencer, Attorney at Law, 222 East Town Street, Columbus, Ohio 43215</x:v>
      </x:c>
      <x:c r="N77" s="303" t="str">
        <x:v>Grantee tax mailing: 5906 East Dublin-Granville Road, New Albany, Ohio 43054</x:v>
      </x:c>
      <x:c r="O77" s="303" t="str">
        <x:v>35.686 acres out of the original 50.086-acre Morsham tract: 12.583 acres from parcel 545-147940 and 23.103 acres from parcel 545-147941.</x:v>
      </x:c>
      <x:c r="P77" s="303" t="str">
        <x:v>545-147940; 545-147941</x:v>
      </x:c>
      <x:c r="Q77" s="315" t="str">
        <x:v>Prior OR 11024A15; this deed OR 33608H13; immediately followed by 199611150229245 / OR 33608H16.</x:v>
      </x:c>
      <x:c r="R77" s="303" t="str">
        <x:v>MATERIAL INTERMEDIATE TITLE RECITAL. It names Eastern Ohio as merger successor in the recorder chain and transfers 35.686 acres to New Albany, which conveyed the same tract to Summit minutes later. It does not resolve the statutory merger constituents or survivor from corporate filings.</x:v>
      </x:c>
      <x:c r="S77" s="303" t="str">
        <x:v>https://franklin.oh.publicsearch.us/doc/124978481?department=RP</x:v>
      </x:c>
      <x:c r="T77" s="309" t="str">
        <x:v>3</x:v>
      </x:c>
      <x:c r="U77" s="303" t="str">
        <x:v>OCR completed for every page.</x:v>
      </x:c>
      <x:c r="V77" s="303" t="str">
        <x:v>1-3</x:v>
      </x:c>
      <x:c r="W77" s="303" t="str">
        <x:v>Primary recorder images; every page OCRed; deed face, merger-successor wording, grant, parcels, legal description, signer/title, notary, preparation line, and recording sequence visually verified.</x:v>
      </x:c>
      <x:c r="X77" s="303" t="str">
        <x:v>/private/tmp/osint-7Vd0k25d/morsham-images/199611150229244</x:v>
      </x:c>
      <x:c r="Y77" s="303" t="str">
        <x:v>/private/tmp/osint-7Vd0k25d/morsham-images/199611150229244/ocr</x:v>
      </x:c>
    </x:row>
    <x:row r="78" ht="66" customHeight="1">
      <x:c r="A78" s="303" t="str">
        <x:v>Morsham</x:v>
      </x:c>
      <x:c r="B78" s="315" t="str">
        <x:v>199611150229245</x:v>
      </x:c>
      <x:c r="C78" s="315" t="str">
        <x:v>124978480</x:v>
      </x:c>
      <x:c r="D78" s="312" t="str">
        <x:v>1996-11-15 15:56</x:v>
      </x:c>
      <x:c r="E78" s="312" t="str">
        <x:v>Signature-date clause says June 1996 but leaves the day blank; acknowledgment is 1996-11-15</x:v>
      </x:c>
      <x:c r="F78" s="303" t="str">
        <x:v>General Warranty Deed</x:v>
      </x:c>
      <x:c r="G78" s="303" t="str">
        <x:v>The New Albany Company Limited Partnership, a Delaware limited partnership</x:v>
      </x:c>
      <x:c r="H78" s="303" t="str">
        <x:v>Summit Properties Partnership, L.P., a Delaware limited partnership</x:v>
      </x:c>
      <x:c r="I78" s="303" t="str">
        <x:v>No merger or successor wording appears in this deed. Exhibit A says the 35.686 acres are all out of the 50.086-acre tract conveyed to Morsham Land Corporation in OR 11024A15. The separately recorded immediately preceding deed, 199611150229244 / OR 33608H13, is the instrument that recites Eastern Ohio Holding Company as successor by merger to Morsham and conveys this 35.686-acre tract to New Albany.</x:v>
      </x:c>
      <x:c r="J78" s="303" t="str">
        <x:v>Valuable consideration paid, amount not stated on the face; recorder conveyance-tax stamp appears to be $3,704.20.</x:v>
      </x:c>
      <x:c r="K78" s="303" t="str">
        <x:v>William W. Vaughan, III — Counsel, The New Albany Company Limited Partnership</x:v>
      </x:c>
      <x:c r="L78" s="303" t="str">
        <x:v>Georgene A. Feather</x:v>
      </x:c>
      <x:c r="M78" s="303" t="str">
        <x:v>Prepared under the direction of The New Albany Company Limited Partnership, 5906 East Dublin-Granville Road, New Albany, Ohio 43054.</x:v>
      </x:c>
      <x:c r="N78" s="303" t="str">
        <x:v>Summit Properties Partnership, L.P., c/o Summit Properties Inc., 212 South Tryon Street, Charlotte, North Carolina 28281.</x:v>
      </x:c>
      <x:c r="O78" s="303" t="str">
        <x:v>35.686 acres in the City of Columbus, Quarter Township 4, Township 2, Range 17, USML; 12.583 acres out of parcel 545-147940 and 23.103 acres out of parcel 545-147941; subject to Exhibit B architectural/development restrictions reserved for Grantor and successors.</x:v>
      </x:c>
      <x:c r="P78" s="303" t="str">
        <x:v>545-147940; 545-147941</x:v>
      </x:c>
      <x:c r="Q78" s="315" t="str">
        <x:v>Morsham source deed OR 11024A15; immediate prior title link 199611150229244 / OR 33608H13; this deed is OR 33608H16; immediately followed by consent 199611150229246 / OR 33608H20.</x:v>
      </x:c>
      <x:c r="R78" s="303" t="str">
        <x:v>MATERIAL TITLE LINK. This is the same-day onward conveyance of the exact 35.686-acre Morsham-derived tract from New Albany to Summit. It materially continues title, but it does not independently prove the Morsham merger or identify the statutory survivor.</x:v>
      </x:c>
      <x:c r="S78" s="303" t="str">
        <x:v>https://franklin.oh.publicsearch.us/doc/124978480?department=RP</x:v>
      </x:c>
      <x:c r="T78" s="309" t="str">
        <x:v>4</x:v>
      </x:c>
      <x:c r="U78" s="303" t="str">
        <x:v>OCR completed for every page.</x:v>
      </x:c>
      <x:c r="V78" s="303" t="str">
        <x:v>1-3</x:v>
      </x:c>
      <x:c r="W78" s="303" t="str">
        <x:v>Primary recorder images; all pages OCRed; deed face, signature/acknowledgment, Morsham source recital, acreage allocation, and recorder time visually verified. Merger conclusion deliberately limited to the separate deed recital.</x:v>
      </x:c>
      <x:c r="X78" s="303" t="str">
        <x:v>/private/tmp/osint-7Vd0k25d/morsham-images/199611150229245</x:v>
      </x:c>
      <x:c r="Y78" s="303" t="str">
        <x:v>/private/tmp/osint-7Vd0k25d/morsham-images/199611150229245/ocr</x:v>
      </x:c>
    </x:row>
    <x:row r="79" ht="66" customHeight="1">
      <x:c r="A79" s="303" t="str">
        <x:v>Morsham</x:v>
      </x:c>
      <x:c r="B79" s="315" t="str">
        <x:v>199611150229246</x:v>
      </x:c>
      <x:c r="C79" s="315" t="str">
        <x:v>124978271</x:v>
      </x:c>
      <x:c r="D79" s="312" t="str">
        <x:v>1996-11-15 15:57</x:v>
      </x:c>
      <x:c r="E79" s="312" t="n">
        <x:v>35384.5</x:v>
      </x:c>
      <x:c r="F79" s="303" t="str">
        <x:v>Consent for Inclusion of Real Property in the New Albany Community District (indexed AF)</x:v>
      </x:c>
      <x:c r="G79" s="303" t="str">
        <x:v>Summit Properties Partnership, L.P., a Delaware limited partnership, as Owner</x:v>
      </x:c>
      <x:c r="H79" s="303" t="str">
        <x:v>No conventional grantee; consent benefits The New Albany Community Authority and permits the Private Developer under OR 16999C04 to subject the property to the Declaration.</x:v>
      </x:c>
      <x:c r="I79" s="303" t="str">
        <x:v>Summit expressly states that it owns parcels 545-147940 and 545-147941, aggregating 35.686 acres. Summit Properties Inc., a Maryland corporation, signs as its general partner. The document contains no merger or corporate-successor recital.</x:v>
      </x:c>
      <x:c r="J79" s="303" t="str">
        <x:v>No purchase consideration or debt. Owner irrevocably consents to inclusion and to a community-development charge, conditioned so no charge or other Authority assessment applies before 1999-01-01.</x:v>
      </x:c>
      <x:c r="K79" s="303" t="str">
        <x:v>Raymond V. Jones — Executive Vice President, Summit Properties Inc., general partner of Summit Properties Partnership, L.P.</x:v>
      </x:c>
      <x:c r="L79" s="303" t="str">
        <x:v>Cynthia Kirby, Mecklenburg County, North Carolina</x:v>
      </x:c>
      <x:c r="M79" s="303" t="str">
        <x:v>The New Albany Limited Partnership, 5906 East Dublin-Granville Road, New Albany, Ohio 43054.</x:v>
      </x:c>
      <x:c r="N79" s="303" t="str">
        <x:v>The New Albany Limited Partnership, 5906 East Dublin-Granville Road, New Albany, Ohio 43054.</x:v>
      </x:c>
      <x:c r="O79" s="303" t="str">
        <x:v>35.686 acres; Exhibit A repeats that the tract is all out of the 50.086-acre tract conveyed to Morsham Land Corporation in OR 11024A15; 12.583 acres out of 545-147940 and 23.103 acres out of 545-147941.</x:v>
      </x:c>
      <x:c r="P79" s="303" t="str">
        <x:v>545-147940; 545-147941</x:v>
      </x:c>
      <x:c r="Q79" s="315" t="str">
        <x:v>OR 16999C04 community-authority declaration; Morsham source deed OR 11024A15; companion deed 199611150229245 / OR 33608H16 recorded one minute earlier.</x:v>
      </x:c>
      <x:c r="R79" s="303" t="str">
        <x:v>MATERIAL DOWNSTREAM ENCUMBRANCE/CONSENT. It confirms Summit's immediate post-closing ownership of the same Morsham-derived parcels and subjects them to the New Albany Community Authority framework. It does not convey title and is not merger proof.</x:v>
      </x:c>
      <x:c r="S79" s="303" t="str">
        <x:v>https://franklin.oh.publicsearch.us/doc/124978271?department=RP</x:v>
      </x:c>
      <x:c r="T79" s="309" t="str">
        <x:v>4</x:v>
      </x:c>
      <x:c r="U79" s="303" t="str">
        <x:v>OCR completed for every page.</x:v>
      </x:c>
      <x:c r="V79" s="303" t="str">
        <x:v>1-4</x:v>
      </x:c>
      <x:c r="W79" s="303" t="str">
        <x:v>Primary recorder images; all pages OCRed; ownership consent, signer, notary, Morsham legal recital, acreage allocation, and recording time visually verified.</x:v>
      </x:c>
      <x:c r="X79" s="303" t="str">
        <x:v>/private/tmp/osint-7Vd0k25d/morsham-images/199611150229246</x:v>
      </x:c>
      <x:c r="Y79" s="303" t="str">
        <x:v>/private/tmp/osint-7Vd0k25d/morsham-images/199611150229246/ocr</x:v>
      </x:c>
    </x:row>
    <x:row r="80" ht="66" customHeight="1">
      <x:c r="A80" s="303" t="str">
        <x:v>Morsham</x:v>
      </x:c>
      <x:c r="B80" s="315" t="str">
        <x:v>199702180037606</x:v>
      </x:c>
      <x:c r="C80" s="315" t="str">
        <x:v>125036738</x:v>
      </x:c>
      <x:c r="D80" s="312" t="str">
        <x:v>1997-02-18 09:20</x:v>
      </x:c>
      <x:c r="E80" s="312" t="str">
        <x:v>1997-02-12; stated effective 1996-12-31</x:v>
      </x:c>
      <x:c r="F80" s="303" t="str">
        <x:v>Deed</x:v>
      </x:c>
      <x:c r="G80" s="303" t="str">
        <x:v>Eastern Ohio Holding Company, Inc., successor by merger to Morsham Land Corporation, and Black Sheep Farms, Inc.</x:v>
      </x:c>
      <x:c r="H80" s="303" t="str">
        <x:v>The New Albany Company Limited Partnership</x:v>
      </x:c>
      <x:c r="I80" s="303" t="str">
        <x:v>The face repeats the Eastern Ohio merger-successor recital. Black Sheep is named as co-grantor, but no separate Black Sheep execution appears in the three recorded pages; that is a documentary anomaly, not a legal conclusion.</x:v>
      </x:c>
      <x:c r="J80" s="303" t="str">
        <x:v>$1 and other good and valuable consideration; transfer exempt.</x:v>
      </x:c>
      <x:c r="K80" s="303" t="str">
        <x:v>William W. Vaughan III — President, Eastern Ohio Holding Company, Inc.; no separate Black Sheep signer appears on the recorded pages</x:v>
      </x:c>
      <x:c r="L80" s="303" t="str">
        <x:v>Georgene A. Feather</x:v>
      </x:c>
      <x:c r="M80" s="303" t="str">
        <x:v>The New Albany Company Limited Partnership, 5906 East Dublin-Granville Road, New Albany, Ohio 43054</x:v>
      </x:c>
      <x:c r="N80" s="303" t="str">
        <x:v>Grantee tax mailing printed as 5903 East Dublin-Granville Road; preparer uses 5906</x:v>
      </x:c>
      <x:c r="O80" s="303" t="str">
        <x:v>Separate Range 16 asset cluster: Exhibit A residual tract of 76 acres and 96 rods, including 0.25 acre in road right-of-way; Exhibit B combines stated 25-acre and 6-acre components.</x:v>
      </x:c>
      <x:c r="P80" s="303" t="str">
        <x:v>Not stated on face</x:v>
      </x:c>
      <x:c r="Q80" s="315" t="str">
        <x:v>Morsham source OR 11024A15; this deed OR 34304J13; marginal link 200804070052880.</x:v>
      </x:c>
      <x:c r="R80" s="303" t="str">
        <x:v>MATERIAL DISPOSITION. The deed transfers a separate Morsham/Black Sheep asset cluster to New Albany and repeats the Eastern Ohio successor recital. The missing Black Sheep execution should be checked against any continuation or corrective instrument.</x:v>
      </x:c>
      <x:c r="S80" s="303" t="str">
        <x:v>https://franklin.oh.publicsearch.us/doc/125036738?department=RP</x:v>
      </x:c>
      <x:c r="T80" s="309" t="str">
        <x:v>3</x:v>
      </x:c>
      <x:c r="U80" s="303" t="str">
        <x:v>OCR completed for every page.</x:v>
      </x:c>
      <x:c r="V80" s="303" t="str">
        <x:v>1-3</x:v>
      </x:c>
      <x:c r="W80" s="303" t="str">
        <x:v>Primary recorder images; every page OCRed; deed face, successor wording, effective date, execution, acknowledgment, both exhibits, addresses, and marginal reference visually verified.</x:v>
      </x:c>
      <x:c r="X80" s="303" t="str">
        <x:v>/private/tmp/osint-7Vd0k25d/morsham-images/199702180037606</x:v>
      </x:c>
      <x:c r="Y80" s="303" t="str">
        <x:v>/private/tmp/osint-7Vd0k25d/morsham-images/199702180037606/ocr</x:v>
      </x:c>
    </x:row>
    <x:row r="81" ht="66" customHeight="1">
      <x:c r="A81" s="303" t="str">
        <x:v>Morsham</x:v>
      </x:c>
      <x:c r="B81" s="315" t="str">
        <x:v>199702180037607</x:v>
      </x:c>
      <x:c r="C81" s="315" t="str">
        <x:v>125036746</x:v>
      </x:c>
      <x:c r="D81" s="312" t="str">
        <x:v>1997-02-18 09:20</x:v>
      </x:c>
      <x:c r="E81" s="312" t="str">
        <x:v>1997-02-12; stated effective 1996-12-31</x:v>
      </x:c>
      <x:c r="F81" s="303" t="str">
        <x:v>Deed</x:v>
      </x:c>
      <x:c r="G81" s="303" t="str">
        <x:v>Eastern Ohio Holding Company, Inc., successor by merger to Morsham Land Corporation, and Black Sheep Farms, Inc.</x:v>
      </x:c>
      <x:c r="H81" s="303" t="str">
        <x:v>The New Albany Company Limited Partnership</x:v>
      </x:c>
      <x:c r="I81" s="303" t="str">
        <x:v>The face repeats the Eastern Ohio merger-successor recital. Black Sheep is named as co-grantor, but no separate Black Sheep execution appears on the four recorded pages; that is preserved as an anomaly.</x:v>
      </x:c>
      <x:c r="J81" s="303" t="str">
        <x:v>$1 and other good and valuable consideration; transfer exempt.</x:v>
      </x:c>
      <x:c r="K81" s="303" t="str">
        <x:v>William W. Vaughan III — President, Eastern Ohio Holding Company, Inc.; no separate Black Sheep signer appears on the recorded pages</x:v>
      </x:c>
      <x:c r="L81" s="303" t="str">
        <x:v>Georgene A. Feather</x:v>
      </x:c>
      <x:c r="M81" s="303" t="str">
        <x:v>The New Albany Company Limited Partnership, 5906 East Dublin-Granville Road, New Albany, Ohio 43054</x:v>
      </x:c>
      <x:c r="N81" s="303" t="str">
        <x:v>Grantee tax mailing and preparer: 5906 East Dublin-Granville Road, New Albany, Ohio 43054</x:v>
      </x:c>
      <x:c r="O81" s="303" t="str">
        <x:v>34.058 acres: 20.809 acres from Black Sheep's original 81.278-acre tract plus 13.249 acres from Morsham's original 35.274-acre tract; map included.</x:v>
      </x:c>
      <x:c r="P81" s="303" t="str">
        <x:v>Not stated on face</x:v>
      </x:c>
      <x:c r="Q81" s="315" t="str">
        <x:v>Black Sheep source OR 10916F01; Morsham source OR 11024A15; neighboring Summit 35.686-acre tract OR 33608H16.</x:v>
      </x:c>
      <x:c r="R81" s="303" t="str">
        <x:v>MATERIAL DISPOSITION. It transfers 13.249 acres of the Morsham-derived tract together with 20.809 Black Sheep acres to New Albany and repeats the Eastern Ohio successor recital.</x:v>
      </x:c>
      <x:c r="S81" s="303" t="str">
        <x:v>https://franklin.oh.publicsearch.us/doc/125036746?department=RP</x:v>
      </x:c>
      <x:c r="T81" s="309" t="str">
        <x:v>4</x:v>
      </x:c>
      <x:c r="U81" s="303" t="str">
        <x:v>OCR completed for every page.</x:v>
      </x:c>
      <x:c r="V81" s="303" t="str">
        <x:v>1-4</x:v>
      </x:c>
      <x:c r="W81" s="303" t="str">
        <x:v>Primary recorder images; every page OCRed; deed face, successor recital, execution/acknowledgment, legal components, source references, acreage, and map visually verified.</x:v>
      </x:c>
      <x:c r="X81" s="303" t="str">
        <x:v>/private/tmp/osint-7Vd0k25d/morsham-images/199702180037607</x:v>
      </x:c>
      <x:c r="Y81" s="303" t="str">
        <x:v>/private/tmp/osint-7Vd0k25d/morsham-images/199702180037607/ocr</x:v>
      </x:c>
    </x:row>
    <x:row r="82" ht="66" customHeight="1">
      <x:c r="A82" s="303" t="str">
        <x:v>Morsham</x:v>
      </x:c>
      <x:c r="B82" s="315" t="str">
        <x:v>199709090089524</x:v>
      </x:c>
      <x:c r="C82" s="315" t="str">
        <x:v>125187911</x:v>
      </x:c>
      <x:c r="D82" s="312" t="str">
        <x:v>1997-09-09 11:08</x:v>
      </x:c>
      <x:c r="E82" s="312" t="n">
        <x:v>35676.5</x:v>
      </x:c>
      <x:c r="F82" s="303" t="str">
        <x:v>First Modification of Deed of Easement and Modification of Restrictions</x:v>
      </x:c>
      <x:c r="G82" s="303" t="str">
        <x:v>Board of Park Commissioners of the Columbus and Franklin County Metropolitan Park District</x:v>
      </x:c>
      <x:c r="H82" s="303" t="str">
        <x:v>Summit Properties Partnership, L.P., identified on the opening page as Summit Properties Partnership, L.L.P., Owner</x:v>
      </x:c>
      <x:c r="I82" s="303" t="str">
        <x:v>The instrument recites that Summit owns the 35.686-acre Owner Property by OR 33608H16 and that the Park District holds a 7.134-acre open-space easement. Summit Properties Inc., a Maryland corporation, signs as general partner. No merger or Morsham-successor statement appears.</x:v>
      </x:c>
      <x:c r="J82" s="303" t="str">
        <x:v>$1 and other good and valuable consideration; conveyance tax exempt.</x:v>
      </x:c>
      <x:c r="K82" s="303" t="str">
        <x:v>Roger Hubbell — Director/Secretary, Board of Park Commissioners; James C. Smith — Vice President of Development, Summit Properties Inc., general partner of Summit Properties Partnership, L.P.</x:v>
      </x:c>
      <x:c r="L82" s="303" t="str">
        <x:v>Lynne D. Krueger for Roger Hubbell; the North Carolina notary for James C. Smith is signed but the name is not confidently legible.</x:v>
      </x:c>
      <x:c r="M82" s="303" t="str">
        <x:v>J. Jeffrey McNealey, Porter, Wright, Morris &amp; Arthur, Columbus, Ohio.</x:v>
      </x:c>
      <x:c r="N82" s="303" t="str">
        <x:v>Not stated.</x:v>
      </x:c>
      <x:c r="O82" s="303" t="str">
        <x:v>35.686-acre Summit Owner Property on the west side of Hamilton Road between Morse Road and State Route 161; modifies a 7.134-acre open-space easement to permit a planned storm-water retention lake and related structures, while preserving the remaining restrictions.</x:v>
      </x:c>
      <x:c r="P82" s="303" t="str">
        <x:v>Not restated; OR 33608H16 identifies 545-147940 and 545-147941.</x:v>
      </x:c>
      <x:c r="Q82" s="315" t="str">
        <x:v>Owner deed OR 33608H16 / 199611150229245; original easement Deed Book 3599, page 258; May 10, 1996 modification OR 33402C15 / instrument 199610230215504; Kofile marginal references include 199610230215504 and B 3599258.</x:v>
      </x:c>
      <x:c r="R82" s="303" t="str">
        <x:v>MATERIAL DOWNSTREAM EASEMENT MODIFICATION. It directly identifies and modifies restrictions on the same 35.686-acre Summit tract carried forward from the Morsham chain. It is an encumbrance record, not a title conveyance or merger record.</x:v>
      </x:c>
      <x:c r="S82" s="303" t="str">
        <x:v>https://franklin.oh.publicsearch.us/doc/125187911?department=RP</x:v>
      </x:c>
      <x:c r="T82" s="309" t="str">
        <x:v>3</x:v>
      </x:c>
      <x:c r="U82" s="303" t="str">
        <x:v>OCR completed for every page.</x:v>
      </x:c>
      <x:c r="V82" s="303" t="str">
        <x:v>1-3</x:v>
      </x:c>
      <x:c r="W82" s="303" t="str">
        <x:v>Primary recorder images; all pages OCRed and all three visually inspected. The L.P./L.L.P. face inconsistency is preserved rather than silently normalized.</x:v>
      </x:c>
      <x:c r="X82" s="303" t="str">
        <x:v>/private/tmp/osint-7Vd0k25d/morsham-images/199709090089524</x:v>
      </x:c>
      <x:c r="Y82" s="303" t="str">
        <x:v>/private/tmp/osint-7Vd0k25d/morsham-images/199709090089524/ocr</x:v>
      </x:c>
    </x:row>
    <x:row r="83" ht="66" customHeight="1">
      <x:c r="A83" s="303" t="str">
        <x:v>Morsham</x:v>
      </x:c>
      <x:c r="B83" s="315" t="str">
        <x:v>200804070052880</x:v>
      </x:c>
      <x:c r="C83" s="315" t="str">
        <x:v>128288725</x:v>
      </x:c>
      <x:c r="D83" s="312" t="str">
        <x:v>2008-04-07 16:28</x:v>
      </x:c>
      <x:c r="E83" s="312" t="n">
        <x:v>39541.5</x:v>
      </x:c>
      <x:c r="F83" s="303" t="str">
        <x:v>Declaration of Restrictions</x:v>
      </x:c>
      <x:c r="G83" s="303" t="str">
        <x:v>The New Albany Company LLC, a Delaware limited liability company, as Owner and Declarant</x:v>
      </x:c>
      <x:c r="H83" s="303" t="str">
        <x:v>No conventional grantee; the restrictions run with and burden the property, benefit the respective property owners and successors, and reserve enforcement rights described for the Owner and parks authorities.</x:v>
      </x:c>
      <x:c r="I83" s="303" t="str">
        <x:v>Declarant recites that it owns the property and took title by OR 34304J13 and instrument 199711120289607. OR 34304J13 is the separately recorded 1997 deed 199702180037606. This ownership recital does not state or prove how The New Albany Company Limited Partnership became The New Albany Company LLC.</x:v>
      </x:c>
      <x:c r="J83" s="303" t="str">
        <x:v>No conveyance consideration or debt; conveyance tax exempt.</x:v>
      </x:c>
      <x:c r="K83" s="303" t="str">
        <x:v>Brent Bradbury — Chief Financial Officer, The New Albany Company LLC</x:v>
      </x:c>
      <x:c r="L83" s="303" t="str">
        <x:v>Lisa J. Dinger</x:v>
      </x:c>
      <x:c r="M83" s="303" t="str">
        <x:v>Prepared under the direction of The New Albany Company LLC, 8000 Walton Parkway, Suite 120, New Albany, Ohio 43054.</x:v>
      </x:c>
      <x:c r="N83" s="303" t="str">
        <x:v>The New Albany Company LLC, 8000 Walton Parkway, Suite 120, New Albany, Ohio 43054.</x:v>
      </x:c>
      <x:c r="O83" s="303" t="str">
        <x:v>Plain Township, Quarter Township 2, Sections 4 and 5, Township 2, Range 16, USML; 108.060 gross acres, 0.464 acre in Harlem Road right-of-way, 107.596 net acres. Perpetual wetland restrictions cover separately described 12.712-acre and 7.661-acre areas.</x:v>
      </x:c>
      <x:c r="P83" s="303" t="str">
        <x:v>220-000276; 220-000013</x:v>
      </x:c>
      <x:c r="Q83" s="315" t="str">
        <x:v>OR 34304J13 / instrument 199702180037606; instrument 199711120289607; Kofile marginal link to 199702180037606.</x:v>
      </x:c>
      <x:c r="R83" s="303" t="str">
        <x:v>MATERIAL DOWNSTREAM RESTRICTION ON A SEPARATE MORSHAM-DERIVED ASSET CLUSTER. The declaration burdens property for which the 1997 source deed is in the Morsham/Eastern Ohio/Black Sheep chain. It is not part of the 35.686-acre Summit tract and its ownership recital is not statutory proof of an LP-to-LLC merger or conversion.</x:v>
      </x:c>
      <x:c r="S83" s="303" t="str">
        <x:v>https://franklin.oh.publicsearch.us/doc/128288725?department=RP</x:v>
      </x:c>
      <x:c r="T83" s="309" t="str">
        <x:v>13</x:v>
      </x:c>
      <x:c r="U83" s="303" t="str">
        <x:v>OCR completed for every page.</x:v>
      </x:c>
      <x:c r="V83" s="303" t="str">
        <x:v>1-4, 6, 8, 10</x:v>
      </x:c>
      <x:c r="W83" s="303" t="str">
        <x:v>Primary recorder images; all 13 pages OCRed; declaration, title recital, execution/notary, gross/net acreage, and both wetland descriptions visually verified.</x:v>
      </x:c>
      <x:c r="X83" s="303" t="str">
        <x:v>/private/tmp/osint-7Vd0k25d/morsham-images/200804070052880</x:v>
      </x:c>
      <x:c r="Y83" s="303" t="str">
        <x:v>/private/tmp/osint-7Vd0k25d/morsham-images/200804070052880/ocr</x:v>
      </x:c>
    </x:row>
    <x:row r="84" ht="66" customHeight="1">
      <x:c r="A84" s="303" t="str">
        <x:v>Morsham</x:v>
      </x:c>
      <x:c r="B84" s="315" t="str">
        <x:v>201212310201338</x:v>
      </x:c>
      <x:c r="C84" s="315" t="str">
        <x:v>121663938</x:v>
      </x:c>
      <x:c r="D84" s="312" t="str">
        <x:v>2012-12-31 15:20</x:v>
      </x:c>
      <x:c r="E84" s="312" t="n">
        <x:v>41263.5</x:v>
      </x:c>
      <x:c r="F84" s="303" t="str">
        <x:v>Limited Warranty Deed</x:v>
      </x:c>
      <x:c r="G84" s="303" t="str">
        <x:v>Town &amp; Country City, Inc., an Ohio corporation</x:v>
      </x:c>
      <x:c r="H84" s="303" t="str">
        <x:v>The New Albany Company LLC, a Delaware limited liability company</x:v>
      </x:c>
      <x:c r="I84" s="303" t="str">
        <x:v>Ordinary limited-warranty grant. Neither party acts for Morsham or claims to be Morsham's successor. The legal description mentions the remainder of Morsham's original 50.086-acre tract only as one of several adjoining tracts at a common corner.</x:v>
      </x:c>
      <x:c r="J84" s="303" t="str">
        <x:v>$10 and other good and valuable consideration; auditor stamp shows $3,544.30 mandatory and $3,544.30 permissive conveyance fees.</x:v>
      </x:c>
      <x:c r="K84" s="303" t="str">
        <x:v>Frank S. Benson III — President, Town &amp; Country City, Inc.</x:v>
      </x:c>
      <x:c r="L84" s="303" t="str">
        <x:v>Helena Brus</x:v>
      </x:c>
      <x:c r="M84" s="303" t="str">
        <x:v>Stephen L. Harper, 191 West Nationwide Boulevard, Suite 200, Columbus, Ohio 43215.</x:v>
      </x:c>
      <x:c r="N84" s="303" t="str">
        <x:v>The New Albany Company LLC, 8000 Walton Parkway, Suite 120, New Albany, Ohio 43054.</x:v>
      </x:c>
      <x:c r="O84" s="303" t="str">
        <x:v>40.809 acres out of Town &amp; Country City, Inc.'s original 269-acre tract; 24.166 acres in APN 545-280181 and 16.643 acres in APN 545-180180. The Morsham remainder is an adjoining corner/boundary only and is not conveyed.</x:v>
      </x:c>
      <x:c r="P84" s="303" t="str">
        <x:v>545-280181; 545-180180</x:v>
      </x:c>
      <x:c r="Q84" s="315" t="str">
        <x:v>Prior instruments 200602280037517 and 200001190012686; Morsham OR 11024A15 appears only in the boundary call.</x:v>
      </x:c>
      <x:c r="R84" s="303" t="str">
        <x:v>HISTORICAL LEGAL-REFERENCE / ADJACENCY HIT ONLY. This deed conveys Town &amp; Country land to New Albany, not Morsham-derived land. It should not be counted as a Morsham title or successor-chain instrument.</x:v>
      </x:c>
      <x:c r="S84" s="303" t="str">
        <x:v>https://franklin.oh.publicsearch.us/doc/121663938?department=RP</x:v>
      </x:c>
      <x:c r="T84" s="309" t="str">
        <x:v>5</x:v>
      </x:c>
      <x:c r="U84" s="303" t="str">
        <x:v>OCR completed for every page.</x:v>
      </x:c>
      <x:c r="V84" s="303" t="str">
        <x:v>1-3</x:v>
      </x:c>
      <x:c r="W84" s="303" t="str">
        <x:v>Primary recorder images; all pages OCRed; face, conveyance-fee stamp, execution/notary, source tract, and Morsham boundary-only clause visually verified.</x:v>
      </x:c>
      <x:c r="X84" s="303" t="str">
        <x:v>/private/tmp/osint-7Vd0k25d/morsham-images/201212310201338</x:v>
      </x:c>
      <x:c r="Y84" s="303" t="str">
        <x:v>/private/tmp/osint-7Vd0k25d/morsham-images/201212310201338/ocr</x:v>
      </x:c>
    </x:row>
    <x:row r="85" ht="66" customHeight="1">
      <x:c r="A85" s="303" t="str">
        <x:v>Morsham</x:v>
      </x:c>
      <x:c r="B85" s="315" t="str">
        <x:v>201212310201339</x:v>
      </x:c>
      <x:c r="C85" s="315" t="str">
        <x:v>121663944</x:v>
      </x:c>
      <x:c r="D85" s="312" t="str">
        <x:v>2012-12-31 15:21</x:v>
      </x:c>
      <x:c r="E85" s="312" t="n">
        <x:v>41263.5</x:v>
      </x:c>
      <x:c r="F85" s="303" t="str">
        <x:v>Limited Warranty Deed</x:v>
      </x:c>
      <x:c r="G85" s="303" t="str">
        <x:v>Stephen L. Harper, Trustee under a Nominee Agreement dated June 5, 1998</x:v>
      </x:c>
      <x:c r="H85" s="303" t="str">
        <x:v>The New Albany Company LLC, a Delaware limited liability company</x:v>
      </x:c>
      <x:c r="I85" s="303" t="str">
        <x:v>Stephen L. Harper signs only in his stated trustee capacity. Neither party acts for Morsham or claims to be its successor. The legal description uses the remainder of Morsham's original 50.086-acre tract as the adjoining easterly/westerly boundary along Hamilton Road.</x:v>
      </x:c>
      <x:c r="J85" s="303" t="str">
        <x:v>$10 and other good and valuable consideration; auditor stamp shows $5,655.00 mandatory and $5,655.00 permissive conveyance fees.</x:v>
      </x:c>
      <x:c r="K85" s="303" t="str">
        <x:v>Stephen L. Harper — Trustee under the June 5, 1998 Nominee Agreement</x:v>
      </x:c>
      <x:c r="L85" s="303" t="str">
        <x:v>Helena Brus</x:v>
      </x:c>
      <x:c r="M85" s="303" t="str">
        <x:v>Stephen L. Harper, 191 West Nationwide Boulevard, Suite 200, Columbus, Ohio 43215.</x:v>
      </x:c>
      <x:c r="N85" s="303" t="str">
        <x:v>The New Albany Company LLC, 8000 Walton Parkway, Suite 120, New Albany, Ohio 43054.</x:v>
      </x:c>
      <x:c r="O85" s="303" t="str">
        <x:v>65.122 acres from Harper's 99.129-acre Parcel Two and 2.342-acre Parcel Three; 2.360 surveyed acres in APN 545-175659 and 62.762 acres in APN 545-175661. Morsham's 50.086-acre remainder is an adjoining boundary and no part of it is conveyed.</x:v>
      </x:c>
      <x:c r="P85" s="303" t="str">
        <x:v>545-175659; 545-175661</x:v>
      </x:c>
      <x:c r="Q85" s="315" t="str">
        <x:v>Prior instrument 200404290096691; Morsham OR 11024A15 appears only in boundary calls; later Kofile marginal reference 201609160125483.</x:v>
      </x:c>
      <x:c r="R85" s="303" t="str">
        <x:v>HISTORICAL LEGAL-REFERENCE / ADJACENCY HIT ONLY. This deed conveys Harper-trustee land to New Albany, not Morsham-derived land. It should not be counted as a Morsham title or successor-chain instrument.</x:v>
      </x:c>
      <x:c r="S85" s="303" t="str">
        <x:v>https://franklin.oh.publicsearch.us/doc/121663944?department=RP</x:v>
      </x:c>
      <x:c r="T85" s="309" t="str">
        <x:v>4</x:v>
      </x:c>
      <x:c r="U85" s="303" t="str">
        <x:v>OCR completed for every page.</x:v>
      </x:c>
      <x:c r="V85" s="303" t="str">
        <x:v>1-3</x:v>
      </x:c>
      <x:c r="W85" s="303" t="str">
        <x:v>Primary recorder images; all pages OCRed; face, conveyance-fee stamp, trustee execution/notary, source tract, acreage allocation, and Morsham boundary-only clauses visually verified.</x:v>
      </x:c>
      <x:c r="X85" s="303" t="str">
        <x:v>/private/tmp/osint-7Vd0k25d/morsham-images/201212310201339</x:v>
      </x:c>
      <x:c r="Y85" s="303" t="str">
        <x:v>/private/tmp/osint-7Vd0k25d/morsham-images/201212310201339/ocr</x:v>
      </x:c>
    </x:row>
    <x:row r="86" ht="66" customHeight="1">
      <x:c r="A86" s="303" t="str">
        <x:v>Morsham</x:v>
      </x:c>
      <x:c r="B86" s="315" t="str">
        <x:v>201604220049451</x:v>
      </x:c>
      <x:c r="C86" s="315" t="str">
        <x:v>122283634</x:v>
      </x:c>
      <x:c r="D86" s="312" t="str">
        <x:v>2016-04-22 09:47:28</x:v>
      </x:c>
      <x:c r="E86" s="312" t="n">
        <x:v>42479.5</x:v>
      </x:c>
      <x:c r="F86" s="303" t="str">
        <x:v>Quitclaim Deed</x:v>
      </x:c>
      <x:c r="G86" s="303" t="str">
        <x:v>Morsham Land Corporation</x:v>
      </x:c>
      <x:c r="H86" s="303" t="str">
        <x:v>City of Columbus</x:v>
      </x:c>
      <x:c r="I86" s="303" t="str">
        <x:v>Morsham remains the nominal grantor; the deed is prepared under New Albany Company LLC's direction and gives Morsham's mailing address c/o New Albany. It does not itself recite the merger chain.</x:v>
      </x:c>
      <x:c r="J86" s="303" t="str">
        <x:v>Valuable consideration, amount unstated.</x:v>
      </x:c>
      <x:c r="K86" s="303" t="str">
        <x:v>Brent B. Bradbury — Treasurer, Morsham Land Corporation</x:v>
      </x:c>
      <x:c r="L86" s="303" t="str">
        <x:v>Aaron L. Underhill</x:v>
      </x:c>
      <x:c r="M86" s="303" t="str">
        <x:v>Prepared under the direction of The New Albany Company LLC, 8000 Walton Parkway, Suite 120, New Albany, Ohio 43054</x:v>
      </x:c>
      <x:c r="N86" s="303" t="str">
        <x:v>Morsham tax mailing c/o New Albany Company LLC at 8000 Walton Parkway, Suite 120; return to City Attorney, Real Estate Division</x:v>
      </x:c>
      <x:c r="O86" s="303" t="str">
        <x:v>Legal begins with the original 50.086 acres, then excepts the prior 35.686-acre conveyance and the 13.249-acre Morsham component of the later 34.058-acre tract. The residual acreage is not expressly totaled.</x:v>
      </x:c>
      <x:c r="P86" s="303" t="str">
        <x:v>545-147940</x:v>
      </x:c>
      <x:c r="Q86" s="315" t="str">
        <x:v>Prior instrument 198801060052123; companion affidavit 201604220049452 recorded one second later.</x:v>
      </x:c>
      <x:c r="R86" s="303" t="str">
        <x:v>MATERIAL RESIDUAL CONVEYANCE. It shows New Albany operationally directing a Morsham quitclaim to Columbus. The deed alone does not prove the corporate succession mechanism.</x:v>
      </x:c>
      <x:c r="S86" s="303" t="str">
        <x:v>https://franklin.oh.publicsearch.us/doc/122283634?department=RP</x:v>
      </x:c>
      <x:c r="T86" s="309" t="str">
        <x:v>8</x:v>
      </x:c>
      <x:c r="U86" s="303" t="str">
        <x:v>OCR completed for every page.</x:v>
      </x:c>
      <x:c r="V86" s="303" t="str">
        <x:v>1-8</x:v>
      </x:c>
      <x:c r="W86" s="303" t="str">
        <x:v>Primary recorder images; every page OCRed; deed face, grantor/grantee, tax/return addresses, signer/title, notary, preparation line, prior reference, legal exceptions, and recording time visually verified.</x:v>
      </x:c>
      <x:c r="X86" s="303" t="str">
        <x:v>/private/tmp/osint-7Vd0k25d/morsham-images/201604220049451</x:v>
      </x:c>
      <x:c r="Y86" s="303" t="str">
        <x:v>/private/tmp/osint-7Vd0k25d/morsham-images/201604220049451/ocr</x:v>
      </x:c>
    </x:row>
    <x:row r="87" ht="66" customHeight="1">
      <x:c r="A87" s="303" t="str">
        <x:v>Morsham</x:v>
      </x:c>
      <x:c r="B87" s="315" t="str">
        <x:v>201604220049452</x:v>
      </x:c>
      <x:c r="C87" s="315" t="str">
        <x:v>122283636</x:v>
      </x:c>
      <x:c r="D87" s="312" t="str">
        <x:v>2016-04-22 09:47:29</x:v>
      </x:c>
      <x:c r="E87" s="312" t="n">
        <x:v>42479.5</x:v>
      </x:c>
      <x:c r="F87" s="303" t="str">
        <x:v>Affidavit on Facts Relating to Title</x:v>
      </x:c>
      <x:c r="G87" s="303" t="str">
        <x:v>Brent B. Bradbury, Treasurer of The New Albany Company LLC, as affiant</x:v>
      </x:c>
      <x:c r="H87" s="303" t="str">
        <x:v>Filed to support conveyance of the property to the City of Columbus</x:v>
      </x:c>
      <x:c r="I87" s="303" t="str">
        <x:v>The affidavit asserts Morsham was a wholly-owned affiliate, merged out on 1995-12-29, and that New Albany Company LLC is successor-in-interest to all Morsham real estate/assets. It does not name the statutory survivor or identify intermediate entities.</x:v>
      </x:c>
      <x:c r="J87" s="303" t="str">
        <x:v>No consideration or debt; title affidavit.</x:v>
      </x:c>
      <x:c r="K87" s="303" t="str">
        <x:v>Brent B. Bradbury — Treasurer, The New Albany Company LLC</x:v>
      </x:c>
      <x:c r="L87" s="303" t="str">
        <x:v>Aaron L. Underhill</x:v>
      </x:c>
      <x:c r="M87" s="303" t="str">
        <x:v>Prepared in support of the New Albany-directed companion conveyance</x:v>
      </x:c>
      <x:c r="N87" s="303" t="str">
        <x:v>Return: City Attorney, Real Estate Division; subject parcel 545-147940</x:v>
      </x:c>
      <x:c r="O87" s="303" t="str">
        <x:v>Legal exhibit tracks the companion deed's residual component of the original 50.086-acre Morsham tract.</x:v>
      </x:c>
      <x:c r="P87" s="303" t="str">
        <x:v>545-147940</x:v>
      </x:c>
      <x:c r="Q87" s="315" t="str">
        <x:v>Prior instrument 198801060052123; companion deed 201604220049451 recorded one second earlier.</x:v>
      </x:c>
      <x:c r="R87" s="303" t="str">
        <x:v>MATERIAL ASSERTED ULTIMATE-SUCCESSOR EVIDENCE. It supports New Albany Company LLC as the asserted ultimate asset/title successor, but it is not the 1995 statutory merger certificate and does not resolve Eastern Ohio's intermediate corporate role.</x:v>
      </x:c>
      <x:c r="S87" s="303" t="str">
        <x:v>https://franklin.oh.publicsearch.us/doc/122283636?department=RP</x:v>
      </x:c>
      <x:c r="T87" s="309" t="str">
        <x:v>8</x:v>
      </x:c>
      <x:c r="U87" s="303" t="str">
        <x:v>OCR completed for every page.</x:v>
      </x:c>
      <x:c r="V87" s="303" t="str">
        <x:v>1-8</x:v>
      </x:c>
      <x:c r="W87" s="303" t="str">
        <x:v>Primary recorder images; every page OCRed; all five numbered title assertions, signer/title, acknowledgment, prior reference, legal, and one-second recording sequence visually verified.</x:v>
      </x:c>
      <x:c r="X87" s="303" t="str">
        <x:v>/private/tmp/osint-7Vd0k25d/morsham-images/201604220049452</x:v>
      </x:c>
      <x:c r="Y87" s="303" t="str">
        <x:v>/private/tmp/osint-7Vd0k25d/morsham-images/201604220049452/ocr</x:v>
      </x:c>
    </x:row>
    <x:row r="88" ht="66" customHeight="1">
      <x:c r="A88" s="303" t="str">
        <x:v>C-Wren / KG</x:v>
      </x:c>
      <x:c r="B88" s="315" t="str">
        <x:v>199110040159108</x:v>
      </x:c>
      <x:c r="C88" s="315" t="str">
        <x:v>123652616</x:v>
      </x:c>
      <x:c r="D88" s="312" t="n">
        <x:v>33515.5</x:v>
      </x:c>
      <x:c r="E88" s="312" t="str">
        <x:v>1991-09-30 (K-L acknowledgment); 1991-09-26 (C-Wren acknowledgment)</x:v>
      </x:c>
      <x:c r="F88" s="303" t="str">
        <x:v>Certificate of Partnership</x:v>
      </x:c>
      <x:c r="G88" s="303" t="str">
        <x:v>K-L Partners, Inc.; C-Wren Investment Corp.</x:v>
      </x:c>
      <x:c r="H88" s="303" t="str">
        <x:v>KG Partners</x:v>
      </x:c>
      <x:c r="I88" s="303" t="str">
        <x:v>The certificate states that K-L Partners and C-Wren Investment Corp. are all members of the Ohio general partnership KG Partners.</x:v>
      </x:c>
      <x:c r="J88" s="303" t="str">
        <x:v>Organizational filing; no land consideration.</x:v>
      </x:c>
      <x:c r="K88" s="303" t="str">
        <x:v>Franklin E. Kass — President, K-L Partners, Inc.; Jeffrey E. Epstein — Vice President, C-Wren Investment Corp.</x:v>
      </x:c>
      <x:c r="L88" s="303" t="str">
        <x:v>Mark E. McGrady</x:v>
      </x:c>
      <x:c r="M88" s="303" t="str">
        <x:v>Mark E. McGrady, Schwartz, Kelm, Warren &amp; Rubenstein, 41 South High Street, Columbus, Ohio 43215.</x:v>
      </x:c>
      <x:c r="N88" s="303" t="str">
        <x:v>K-L: 35 North Fourth Street, attention Franklin E. Kass; C-Wren: 41 South High Street, Suite 3710, attention Jeffrey E. Epstein.</x:v>
      </x:c>
      <x:c r="O88" s="303" t="str">
        <x:v>No land conveyed; partnership certificate.</x:v>
      </x:c>
      <x:c r="P88" s="303" t="str">
        <x:v>Not stated.</x:v>
      </x:c>
      <x:c r="Q88" s="315" t="str">
        <x:v>Same-day KG acquisition/mortgages 199110040159339-159342; later KG deed 199305130127826 again names both partners.</x:v>
      </x:c>
      <x:c r="R88" s="303" t="str">
        <x:v>Direct primary-image proof that C-Wren was a KG member and that Epstein executed the certificate as C-Wren vice president; no KG ownership percentage is stated.</x:v>
      </x:c>
      <x:c r="S88" s="303" t="str">
        <x:v>https://franklin.oh.publicsearch.us/doc/123652616?department=RP</x:v>
      </x:c>
      <x:c r="T88" s="309" t="str">
        <x:v>2</x:v>
      </x:c>
      <x:c r="U88" s="303" t="str">
        <x:v>OCR completed for every page.</x:v>
      </x:c>
      <x:c r="V88" s="303" t="str">
        <x:v>1-2</x:v>
      </x:c>
      <x:c r="W88" s="303" t="str">
        <x:v>Primary recorder images; all pages OCRed and visually reviewed.</x:v>
      </x:c>
      <x:c r="X88" s="303" t="str">
        <x:v>/private/tmp/osint-7Vd0k25d/franklin-reviewed-pages/c-wren-kg-partnership-1991</x:v>
      </x:c>
      <x:c r="Y88" s="303" t="str">
        <x:v>/private/tmp/osint-7Vd0k25d/franklin-reviewed-pages/c-wren-kg-partnership-1991/ocr</x:v>
      </x:c>
    </x:row>
    <x:row r="89" ht="66" customHeight="1">
      <x:c r="A89" s="303" t="str">
        <x:v>C-Wren / KG</x:v>
      </x:c>
      <x:c r="B89" s="315" t="str">
        <x:v>199110040159230</x:v>
      </x:c>
      <x:c r="C89" s="315" t="str">
        <x:v>123652626</x:v>
      </x:c>
      <x:c r="D89" s="312" t="n">
        <x:v>33515.5</x:v>
      </x:c>
      <x:c r="E89" s="312" t="n">
        <x:v>33511.5</x:v>
      </x:c>
      <x:c r="F89" s="303" t="str">
        <x:v>Certificate of Limited Partnership — Christopher Wren Apartments Limited Partnership</x:v>
      </x:c>
      <x:c r="G89" s="303" t="str">
        <x:v>KG Partners; Nationwide Development Company; Nationwide Life Insurance Company</x:v>
      </x:c>
      <x:c r="H89" s="303" t="str">
        <x:v>Christopher Wren Apartments Limited Partnership</x:v>
      </x:c>
      <x:c r="I89" s="303" t="str">
        <x:v>KG is managing general partner; Nationwide Development is administrative general partner; Nationwide Life is limited partner.</x:v>
      </x:c>
      <x:c r="J89" s="303" t="str">
        <x:v>Initial capital: KG $50, Nationwide Development $1, Nationwide Life $49. Upon acquisition, Nationwide Life will contribute $13,260,000; Nationwide Development $133,945; KG an unspecified amount approximating anticipated operating deficits. Qualified profit/loss allocations: KG 50%, Nationwide Development 1%, Nationwide Life 49%.</x:v>
      </x:c>
      <x:c r="K89" s="303" t="str">
        <x:v>Franklin E. Kass — President, K-L Partners, Inc., general partner acting for KG; Robert J. Woodward, Jr. — President, Nationwide Development; Robert H. McNaghten — Vice President, Nationwide Life.</x:v>
      </x:c>
      <x:c r="L89" s="303" t="str">
        <x:v>Multiple acknowledgments; Sue Ann Crego among notaries.</x:v>
      </x:c>
      <x:c r="M89" s="303" t="str">
        <x:v>William J. Kelly, Jr., Porter, Wright, Morris &amp; Arthur, 41 South High Street, Columbus, Ohio 43215.</x:v>
      </x:c>
      <x:c r="N89" s="303" t="str">
        <x:v>Partnership c/o Continental Real Estate Companies, 35 North Fourth Street, Columbus, Ohio 43215.</x:v>
      </x:c>
      <x:c r="O89" s="303" t="str">
        <x:v>Organizational certificate for a partnership formed to acquire, own, manage, develop, operate, lease, and sell land/improvements; no legal description in certificate.</x:v>
      </x:c>
      <x:c r="P89" s="303" t="str">
        <x:v>Not stated.</x:v>
      </x:c>
      <x:c r="Q89" s="315" t="str">
        <x:v>Substantively duplicate recorder copy 199112100188775; KG later conveys the 33.664-acre tract by 199307090167426.</x:v>
      </x:c>
      <x:c r="R89" s="303" t="str">
        <x:v>Shows KG's operating/economic role in the apartment venture and Nationwide's stated capital/allocation structure; it does not allocate KG's interest between K-L and C-Wren.</x:v>
      </x:c>
      <x:c r="S89" s="303" t="str">
        <x:v>https://franklin.oh.publicsearch.us/doc/123652626?department=RP</x:v>
      </x:c>
      <x:c r="T89" s="309" t="str">
        <x:v>4</x:v>
      </x:c>
      <x:c r="U89" s="303" t="str">
        <x:v>OCR completed for every page.</x:v>
      </x:c>
      <x:c r="V89" s="303" t="str">
        <x:v>1-4</x:v>
      </x:c>
      <x:c r="W89" s="303" t="str">
        <x:v>Primary recorder images; all pages OCRed; partner, capital, allocation, execution, and preparer pages visually reviewed.</x:v>
      </x:c>
      <x:c r="X89" s="303" t="str">
        <x:v>/private/tmp/osint-7Vd0k25d/franklin-reviewed-pages/c-wren-christopher-wren-lp-1991</x:v>
      </x:c>
      <x:c r="Y89" s="303" t="str">
        <x:v>/private/tmp/osint-7Vd0k25d/franklin-reviewed-pages/c-wren-christopher-wren-lp-1991/ocr</x:v>
      </x:c>
    </x:row>
    <x:row r="90" ht="66" customHeight="1">
      <x:c r="A90" s="303" t="str">
        <x:v>C-Wren / KG</x:v>
      </x:c>
      <x:c r="B90" s="315" t="str">
        <x:v>199110040159339</x:v>
      </x:c>
      <x:c r="C90" s="315" t="str">
        <x:v>123652478</x:v>
      </x:c>
      <x:c r="D90" s="312" t="n">
        <x:v>33515.5</x:v>
      </x:c>
      <x:c r="E90" s="312" t="n">
        <x:v>33511.5</x:v>
      </x:c>
      <x:c r="F90" s="303" t="str">
        <x:v>Limited Warranty Deed</x:v>
      </x:c>
      <x:c r="G90" s="303" t="str">
        <x:v>Cherry Bottom Properties, Inc., an Ohio corporation</x:v>
      </x:c>
      <x:c r="H90" s="303" t="str">
        <x:v>KG Partners, an Ohio general partnership</x:v>
      </x:c>
      <x:c r="I90" s="303" t="str">
        <x:v>Properties is the fee grantor. The New Albany Company is named only as Properties' affiliate/designee for development-plan approval and signs through Rocky Fork Development Corp. to acknowledge plans/specifications; it is not the fee grantor.</x:v>
      </x:c>
      <x:c r="J90" s="303" t="str">
        <x:v>Valuable consideration paid; amount not stated. Recorder conveyance-tax stamp is $1,224.00 and is not treated as the deed's stated consideration.</x:v>
      </x:c>
      <x:c r="K90" s="303" t="str">
        <x:v>Jeffrey E. Epstein — Vice President, Cherry Bottom Properties, Inc.; also President, Rocky Fork Development Corp., general partner of The New Albany Company, for the separate plan-approval acknowledgment.</x:v>
      </x:c>
      <x:c r="L90" s="303" t="str">
        <x:v>Mark E. McGrady</x:v>
      </x:c>
      <x:c r="M90" s="303" t="str">
        <x:v>Mark E. McGrady, Schwartz, Kelm, Warren &amp; Rubenstein, 41 South High Street, Suite 2300, Columbus, Ohio 43215.</x:v>
      </x:c>
      <x:c r="N90" s="303" t="str">
        <x:v>Grantee tax mailing: 35 North Fourth Street, Columbus, Ohio 43215.</x:v>
      </x:c>
      <x:c r="O90" s="303" t="str">
        <x:v>Exhibit A conveys 33.664 acres gross / 32.517 net usable acres. Exhibit B concerns the Christopher Wren multi-family project and development restrictions.</x:v>
      </x:c>
      <x:c r="P90" s="303" t="str">
        <x:v>025-4294 and 025-4278</x:v>
      </x:c>
      <x:c r="Q90" s="315" t="str">
        <x:v>Prior OR 16658 J11, corresponding to the March 1991 acquisition chain.</x:v>
      </x:c>
      <x:c r="R90" s="303" t="str">
        <x:v>Epstein personally executed Properties' post-merger disposition of the 33.664-acre tract; New Albany's role was limited to plan approval.</x:v>
      </x:c>
      <x:c r="S90" s="303" t="str">
        <x:v>https://franklin.oh.publicsearch.us/doc/123652478?department=RP</x:v>
      </x:c>
      <x:c r="T90" s="309" t="str">
        <x:v>11</x:v>
      </x:c>
      <x:c r="U90" s="303" t="str">
        <x:v>OCR completed for every page.</x:v>
      </x:c>
      <x:c r="V90" s="303" t="str">
        <x:v>1, 5-7</x:v>
      </x:c>
      <x:c r="W90" s="303" t="str">
        <x:v>Primary recorder images; all pages OCRed; party/operative page, execution pages, and decisive legal page visually inspected.</x:v>
      </x:c>
      <x:c r="X90" s="303" t="str">
        <x:v>/private/tmp/osint-7Vd0k25d/cherry-images/199110040159339</x:v>
      </x:c>
      <x:c r="Y90" s="303" t="str">
        <x:v>/private/tmp/osint-7Vd0k25d/cherry-images/199110040159339/ocr</x:v>
      </x:c>
    </x:row>
    <x:row r="91" ht="66" customHeight="1">
      <x:c r="A91" s="303" t="str">
        <x:v>C-Wren / KG</x:v>
      </x:c>
      <x:c r="B91" s="315" t="str">
        <x:v>199110040159340</x:v>
      </x:c>
      <x:c r="C91" s="315" t="str">
        <x:v>123652596</x:v>
      </x:c>
      <x:c r="D91" s="312" t="n">
        <x:v>33515.5</x:v>
      </x:c>
      <x:c r="E91" s="312" t="n">
        <x:v>33511.5</x:v>
      </x:c>
      <x:c r="F91" s="303" t="str">
        <x:v>Open-End Mortgage, Assignment of Rents and Security Agreement</x:v>
      </x:c>
      <x:c r="G91" s="303" t="str">
        <x:v>KG Partners, an Ohio general partnership</x:v>
      </x:c>
      <x:c r="H91" s="303" t="str">
        <x:v>Bank One, Columbus, N.A.</x:v>
      </x:c>
      <x:c r="I91" s="303" t="str">
        <x:v>KG is mortgagor; K-L Partners, Inc. executes as KG general partner. The instrument does not require a C-Wren signature.</x:v>
      </x:c>
      <x:c r="J91" s="303" t="str">
        <x:v>Maximum unpaid loan indebtedness $12,000,000, comprising three variable-rate notes of $10,000,000, $500,000, and $1,500,000, each payable not later than 1994-03-30. Notes 2 and 3 are nonrecourse to assets beyond the mortgaged property/other stated collateral; Note 1 remains recourse.</x:v>
      </x:c>
      <x:c r="K91" s="303" t="str">
        <x:v>Franklin E. Kass — President, K-L Partners, Inc., general partner of KG Partners.</x:v>
      </x:c>
      <x:c r="L91" s="303" t="str">
        <x:v>David K. Conrad</x:v>
      </x:c>
      <x:c r="M91" s="303" t="str">
        <x:v>David K. Conrad, Bricker &amp; Eckler, 100 South Third Street, Columbus, Ohio 43215-4291.</x:v>
      </x:c>
      <x:c r="N91" s="303" t="str">
        <x:v>Mortgagor c/o Continental Real Estate Companies, 35 North Fourth Street; Bank One, 100 East Broad Street.</x:v>
      </x:c>
      <x:c r="O91" s="303" t="str">
        <x:v>33.664 acres gross / 32.517 net acres in Columbus and Gahanna; mortgage also covers improvements, rents, contracts, and related personal property.</x:v>
      </x:c>
      <x:c r="P91" s="303" t="str">
        <x:v>025-4294 and 025-4278 (from same transaction family).</x:v>
      </x:c>
      <x:c r="Q91" s="315" t="str">
        <x:v>Same transaction as deed 199110040159339; OR 17785 B03; released by 199307120168458.</x:v>
      </x:c>
      <x:c r="R91" s="303" t="str">
        <x:v>Establishes the senior construction/development financing behind KG's acquisition and the exact $12 million ceiling; the later release closes the recorded lien, not the payoff amount.</x:v>
      </x:c>
      <x:c r="S91" s="303" t="str">
        <x:v>https://franklin.oh.publicsearch.us/doc/123652596?department=RP</x:v>
      </x:c>
      <x:c r="T91" s="309" t="str">
        <x:v>30</x:v>
      </x:c>
      <x:c r="U91" s="303" t="str">
        <x:v>OCR completed for every page.</x:v>
      </x:c>
      <x:c r="V91" s="303" t="str">
        <x:v>1-3, 26-30</x:v>
      </x:c>
      <x:c r="W91" s="303" t="str">
        <x:v>Primary recorder images; all pages OCRed; operative debt, nonrecourse, execution, legal, and exception pages visually reviewed.</x:v>
      </x:c>
      <x:c r="X91" s="303" t="str">
        <x:v>/private/tmp/osint-7Vd0k25d/franklin-reviewed-pages/c-wren-kg-bank-one-mortgage-1991</x:v>
      </x:c>
      <x:c r="Y91" s="303" t="str">
        <x:v>/private/tmp/osint-7Vd0k25d/franklin-reviewed-pages/c-wren-kg-bank-one-mortgage-1991/ocr</x:v>
      </x:c>
    </x:row>
    <x:row r="92" ht="66" customHeight="1">
      <x:c r="A92" s="303" t="str">
        <x:v>C-Wren / KG</x:v>
      </x:c>
      <x:c r="B92" s="315" t="str">
        <x:v>199110040159341</x:v>
      </x:c>
      <x:c r="C92" s="315" t="str">
        <x:v>123652597</x:v>
      </x:c>
      <x:c r="D92" s="312" t="n">
        <x:v>33515.5</x:v>
      </x:c>
      <x:c r="E92" s="312" t="n">
        <x:v>33511.5</x:v>
      </x:c>
      <x:c r="F92" s="303" t="str">
        <x:v>Mortgage, Assignment of Rents and Security Agreement</x:v>
      </x:c>
      <x:c r="G92" s="303" t="str">
        <x:v>KG Partners, an Ohio general partnership</x:v>
      </x:c>
      <x:c r="H92" s="303" t="str">
        <x:v>Cherry Bottom Properties, Inc., an Ohio corporation</x:v>
      </x:c>
      <x:c r="I92" s="303" t="str">
        <x:v>Properties is mortgagee/seller-lender; instrument is expressly subordinate to a Bank One, Columbus, N.A. open-end mortgage.</x:v>
      </x:c>
      <x:c r="J92" s="303" t="str">
        <x:v>$1,080,000 principal seller/lender note; monthly interest; balance due 1994-03-31. Senior Bank One mortgage secures three notes totaling $12,000,000 ($10,000,000 + $500,000 + $1,500,000).</x:v>
      </x:c>
      <x:c r="K92" s="303" t="str">
        <x:v>Franklin E. Kass — President, K-L Partners, Inc., managing partner of KG Partners.</x:v>
      </x:c>
      <x:c r="L92" s="303" t="str">
        <x:v>Mark E. McGrady</x:v>
      </x:c>
      <x:c r="M92" s="303" t="str">
        <x:v>Mark E. McGrady, Schwartz, Kelm, Warren &amp; Rubenstein, 41 South High Street, Columbus, Ohio 43215.</x:v>
      </x:c>
      <x:c r="N92" s="303" t="str">
        <x:v>Mortgagor: 35 North Fourth Street, Columbus, Ohio 43215. Mortgagee: 41 South High Street, Suite 3710, Columbus, Ohio 43215.</x:v>
      </x:c>
      <x:c r="O92" s="303" t="str">
        <x:v>Mortgage, rents assignment, and security interest encumber 33.664 acres gross / 32.517 net usable acres; limited-recourse language bars deficiency pursuit against KG's partners.</x:v>
      </x:c>
      <x:c r="P92" s="303" t="str">
        <x:v>025-4294 and 025-4278</x:v>
      </x:c>
      <x:c r="Q92" s="315" t="str">
        <x:v>Same transaction as deed 199110040159339; released by 199307120168459; release identifies mortgage record as OR 17785 C13.</x:v>
      </x:c>
      <x:c r="R92" s="303" t="str">
        <x:v>Properties financed part of KG's acquisition with a $1.08 million subordinate mortgage; this provides a money trail beyond the deed alone.</x:v>
      </x:c>
      <x:c r="S92" s="303" t="str">
        <x:v>https://franklin.oh.publicsearch.us/doc/123652597?department=RP</x:v>
      </x:c>
      <x:c r="T92" s="309" t="str">
        <x:v>7</x:v>
      </x:c>
      <x:c r="U92" s="303" t="str">
        <x:v>OCR completed for every page.</x:v>
      </x:c>
      <x:c r="V92" s="303" t="str">
        <x:v>1, 6</x:v>
      </x:c>
      <x:c r="W92" s="303" t="str">
        <x:v>Primary recorder images; all pages OCRed; debt/lien page and execution/acknowledgment page visually inspected.</x:v>
      </x:c>
      <x:c r="X92" s="303" t="str">
        <x:v>/private/tmp/osint-7Vd0k25d/cherry-images/199110040159341</x:v>
      </x:c>
      <x:c r="Y92" s="303" t="str">
        <x:v>/private/tmp/osint-7Vd0k25d/cherry-images/199110040159341/ocr</x:v>
      </x:c>
    </x:row>
    <x:row r="93" ht="66" customHeight="1">
      <x:c r="A93" s="303" t="str">
        <x:v>C-Wren / KG</x:v>
      </x:c>
      <x:c r="B93" s="315" t="str">
        <x:v>199110040159342</x:v>
      </x:c>
      <x:c r="C93" s="315" t="str">
        <x:v>123652481</x:v>
      </x:c>
      <x:c r="D93" s="312" t="n">
        <x:v>33515.5</x:v>
      </x:c>
      <x:c r="E93" s="312" t="str">
        <x:v>1991-10-04 file date</x:v>
      </x:c>
      <x:c r="F93" s="303" t="str">
        <x:v>Financing Statement Attached to Property</x:v>
      </x:c>
      <x:c r="G93" s="303" t="str">
        <x:v>K.G. Partners (record owner/debtor)</x:v>
      </x:c>
      <x:c r="H93" s="303" t="str">
        <x:v>Bank One, Columbus, N.A. (secured party)</x:v>
      </x:c>
      <x:c r="I93" s="303" t="str">
        <x:v>Recorder real-estate financing-statement form; not a deed.</x:v>
      </x:c>
      <x:c r="J93" s="303" t="str">
        <x:v>No amount on this one-page form; it accompanies the Bank One mortgage/security package.</x:v>
      </x:c>
      <x:c r="K93" s="303" t="str">
        <x:v>Recorder form; no party signature shown.</x:v>
      </x:c>
      <x:c r="L93" s="303" t="str">
        <x:v>Not applicable.</x:v>
      </x:c>
      <x:c r="M93" s="303" t="str">
        <x:v>Not stated on image.</x:v>
      </x:c>
      <x:c r="N93" s="303" t="str">
        <x:v>Not stated.</x:v>
      </x:c>
      <x:c r="O93" s="303" t="str">
        <x:v>32.517 acres, more or less, Gahanna.</x:v>
      </x:c>
      <x:c r="P93" s="303" t="str">
        <x:v>Not stated on form.</x:v>
      </x:c>
      <x:c r="Q93" s="315" t="str">
        <x:v>Financing file 78496; OR 3208 A12; released by 199307130169303.</x:v>
      </x:c>
      <x:c r="R93" s="303" t="str">
        <x:v>Corroborates the real-estate/UCC component of Bank One's collateral package; it does not add a separate debt amount.</x:v>
      </x:c>
      <x:c r="S93" s="303" t="str">
        <x:v>https://franklin.oh.publicsearch.us/doc/123652481?department=RP</x:v>
      </x:c>
      <x:c r="T93" s="309" t="str">
        <x:v>1</x:v>
      </x:c>
      <x:c r="U93" s="303" t="str">
        <x:v>OCR completed.</x:v>
      </x:c>
      <x:c r="V93" s="303" t="str">
        <x:v>1</x:v>
      </x:c>
      <x:c r="W93" s="303" t="str">
        <x:v>Primary recorder image; OCRed and visually reviewed.</x:v>
      </x:c>
      <x:c r="X93" s="303" t="str">
        <x:v>/private/tmp/osint-7Vd0k25d/franklin-reviewed-pages/c-wren-kg-financing-statement-1991</x:v>
      </x:c>
      <x:c r="Y93" s="303" t="str">
        <x:v>/private/tmp/osint-7Vd0k25d/franklin-reviewed-pages/c-wren-kg-financing-statement-1991/ocr</x:v>
      </x:c>
    </x:row>
    <x:row r="94" ht="66" customHeight="1">
      <x:c r="A94" s="303" t="str">
        <x:v>C-Wren / KG</x:v>
      </x:c>
      <x:c r="B94" s="315" t="str">
        <x:v>199112100188775</x:v>
      </x:c>
      <x:c r="C94" s="315" t="str">
        <x:v>123682163</x:v>
      </x:c>
      <x:c r="D94" s="312" t="n">
        <x:v>33582.5</x:v>
      </x:c>
      <x:c r="E94" s="312" t="n">
        <x:v>33511.5</x:v>
      </x:c>
      <x:c r="F94" s="303" t="str">
        <x:v>Duplicate/re-recorded Certificate of Limited Partnership — Christopher Wren Apartments Limited Partnership</x:v>
      </x:c>
      <x:c r="G94" s="303" t="str">
        <x:v>KG Partners; Nationwide Development Company; Nationwide Life Insurance Company</x:v>
      </x:c>
      <x:c r="H94" s="303" t="str">
        <x:v>Christopher Wren Apartments Limited Partnership</x:v>
      </x:c>
      <x:c r="I94" s="303" t="str">
        <x:v>Face is substantively the same certificate as 199110040159230; no amendment clause or changed partner is visible.</x:v>
      </x:c>
      <x:c r="J94" s="303" t="str">
        <x:v>Repeats the capital and 50%/1%/49% allocations in 199110040159230; no new amount.</x:v>
      </x:c>
      <x:c r="K94" s="303" t="str">
        <x:v>Same signatory structure as the October copy, led by Franklin E. Kass through K-L Partners for KG.</x:v>
      </x:c>
      <x:c r="L94" s="303" t="str">
        <x:v>Multiple acknowledgments; Sue Ann Crego among notaries.</x:v>
      </x:c>
      <x:c r="M94" s="303" t="str">
        <x:v>William J. Kelly, Jr., Porter, Wright, Morris &amp; Arthur, 41 South High Street, Columbus, Ohio 43215.</x:v>
      </x:c>
      <x:c r="N94" s="303" t="str">
        <x:v>Partnership c/o Continental Real Estate Companies, 35 North Fourth Street, Columbus, Ohio 43215.</x:v>
      </x:c>
      <x:c r="O94" s="303" t="str">
        <x:v>No land conveyed.</x:v>
      </x:c>
      <x:c r="P94" s="303" t="str">
        <x:v>Not stated.</x:v>
      </x:c>
      <x:c r="Q94" s="315" t="str">
        <x:v>Substantive duplicate of 199110040159230.</x:v>
      </x:c>
      <x:c r="R94" s="303" t="str">
        <x:v>Recorder duplicate/re-record, not evidence of a changed partner, merger, or second capital commitment.</x:v>
      </x:c>
      <x:c r="S94" s="303" t="str">
        <x:v>https://franklin.oh.publicsearch.us/doc/123682163?department=RP</x:v>
      </x:c>
      <x:c r="T94" s="309" t="str">
        <x:v>4</x:v>
      </x:c>
      <x:c r="U94" s="303" t="str">
        <x:v>OCR completed for every page.</x:v>
      </x:c>
      <x:c r="V94" s="303" t="str">
        <x:v>1-4</x:v>
      </x:c>
      <x:c r="W94" s="303" t="str">
        <x:v>Primary recorder images; all pages OCRed and compared with the October certificate.</x:v>
      </x:c>
      <x:c r="X94" s="303" t="str">
        <x:v>/private/tmp/osint-7Vd0k25d/franklin-reviewed-pages/c-wren-christopher-wren-lp-amendment-1991</x:v>
      </x:c>
      <x:c r="Y94" s="303" t="str">
        <x:v>/private/tmp/osint-7Vd0k25d/franklin-reviewed-pages/c-wren-christopher-wren-lp-amendment-1991/ocr</x:v>
      </x:c>
    </x:row>
    <x:row r="95" ht="66" customHeight="1">
      <x:c r="A95" s="303" t="str">
        <x:v>C-Wren / KG</x:v>
      </x:c>
      <x:c r="B95" s="315" t="str">
        <x:v>199205140117148</x:v>
      </x:c>
      <x:c r="C95" s="315" t="str">
        <x:v>123780639</x:v>
      </x:c>
      <x:c r="D95" s="312" t="n">
        <x:v>33738.5</x:v>
      </x:c>
      <x:c r="E95" s="312" t="n">
        <x:v>33693.5</x:v>
      </x:c>
      <x:c r="F95" s="303" t="str">
        <x:v>Right-of-Way and Easement</x:v>
      </x:c>
      <x:c r="G95" s="303" t="str">
        <x:v>KG Partners</x:v>
      </x:c>
      <x:c r="H95" s="303" t="str">
        <x:v>Columbus Southern Power Company</x:v>
      </x:c>
      <x:c r="I95" s="303" t="str">
        <x:v>KG grants a ten-foot electric right-of-way/easement; handwritten execution identifies Franklin E. Kass but does not clearly set out K-L's capacity.</x:v>
      </x:c>
      <x:c r="J95" s="303" t="str">
        <x:v>$1 and other good and valuable consideration.</x:v>
      </x:c>
      <x:c r="K95" s="303" t="str">
        <x:v>Franklin E. Kass — handwritten title appears as Vice President; capacity block is internally imprecise and should not be used to infer a new KG partner.</x:v>
      </x:c>
      <x:c r="L95" s="303" t="str">
        <x:v>Margaret A. McCandless</x:v>
      </x:c>
      <x:c r="M95" s="303" t="str">
        <x:v>Columbus Southern Power Company.</x:v>
      </x:c>
      <x:c r="N95" s="303" t="str">
        <x:v>Not stated.</x:v>
      </x:c>
      <x:c r="O95" s="303" t="str">
        <x:v>Ten-foot utility easement over the KG tract described as 33.674 acres on the form; prior deed OR 17785 A12 describes 33.664 gross / 32.517 net acres.</x:v>
      </x:c>
      <x:c r="P95" s="303" t="str">
        <x:v>Not stated.</x:v>
      </x:c>
      <x:c r="Q95" s="315" t="str">
        <x:v>Prior deed OR 17785 A12.</x:v>
      </x:c>
      <x:c r="R95" s="303" t="str">
        <x:v>Documents utility development for Christopher Wren Apartments; the form's 33.674 figure conflicts with the controlling deed/other instruments and is not silently normalized.</x:v>
      </x:c>
      <x:c r="S95" s="303" t="str">
        <x:v>https://franklin.oh.publicsearch.us/doc/123780639?department=RP</x:v>
      </x:c>
      <x:c r="T95" s="309" t="str">
        <x:v>2</x:v>
      </x:c>
      <x:c r="U95" s="303" t="str">
        <x:v>OCR completed for every page.</x:v>
      </x:c>
      <x:c r="V95" s="303" t="str">
        <x:v>1-2</x:v>
      </x:c>
      <x:c r="W95" s="303" t="str">
        <x:v>Primary recorder images; all pages OCRed and visually reviewed.</x:v>
      </x:c>
      <x:c r="X95" s="303" t="str">
        <x:v>/private/tmp/osint-7Vd0k25d/franklin-reviewed-pages/c-wren-kg-power-easement-1992</x:v>
      </x:c>
      <x:c r="Y95" s="303" t="str">
        <x:v>/private/tmp/osint-7Vd0k25d/franklin-reviewed-pages/c-wren-kg-power-easement-1992/ocr</x:v>
      </x:c>
    </x:row>
    <x:row r="96" ht="66" customHeight="1">
      <x:c r="A96" s="303" t="str">
        <x:v>C-Wren / KG</x:v>
      </x:c>
      <x:c r="B96" s="315" t="str">
        <x:v>199209180189798</x:v>
      </x:c>
      <x:c r="C96" s="315" t="str">
        <x:v>123868678</x:v>
      </x:c>
      <x:c r="D96" s="312" t="n">
        <x:v>33865.5</x:v>
      </x:c>
      <x:c r="E96" s="312" t="str">
        <x:v>1992-09-08 (signature); 1992-09-09 acknowledgment</x:v>
      </x:c>
      <x:c r="F96" s="303" t="str">
        <x:v>Telephone Easement</x:v>
      </x:c>
      <x:c r="G96" s="303" t="str">
        <x:v>K-G Partners, an Ohio general partnership</x:v>
      </x:c>
      <x:c r="H96" s="303" t="str">
        <x:v>Ohio Bell Telephone Company</x:v>
      </x:c>
      <x:c r="I96" s="303" t="str">
        <x:v>K-L Partners, Inc. executes as KG managing partner.</x:v>
      </x:c>
      <x:c r="J96" s="303" t="str">
        <x:v>$1 and other good and valuable consideration.</x:v>
      </x:c>
      <x:c r="K96" s="303" t="str">
        <x:v>Franklin E. Kass — President, K-L Partners, Inc., managing partner of KG.</x:v>
      </x:c>
      <x:c r="L96" s="303" t="str">
        <x:v>David Sheidlower</x:v>
      </x:c>
      <x:c r="M96" s="303" t="str">
        <x:v>American Easement Corporation.</x:v>
      </x:c>
      <x:c r="N96" s="303" t="str">
        <x:v>Not stated.</x:v>
      </x:c>
      <x:c r="O96" s="303" t="str">
        <x:v>Second telephone easement affecting the 32.517-acre KG tract; exhibit identifies Christopher Wren Apartments.</x:v>
      </x:c>
      <x:c r="P96" s="303" t="str">
        <x:v>Not stated.</x:v>
      </x:c>
      <x:c r="Q96" s="315" t="str">
        <x:v>Prior KG deed dated 1991-10-04 / OR 17785 A12.</x:v>
      </x:c>
      <x:c r="R96" s="303" t="str">
        <x:v>Distinct companion Ohio Bell easement; duplicate date/parties do not make it a duplicate image.</x:v>
      </x:c>
      <x:c r="S96" s="303" t="str">
        <x:v>https://franklin.oh.publicsearch.us/doc/123868678?department=RP</x:v>
      </x:c>
      <x:c r="T96" s="309" t="str">
        <x:v>3</x:v>
      </x:c>
      <x:c r="U96" s="303" t="str">
        <x:v>OCR completed for every page.</x:v>
      </x:c>
      <x:c r="V96" s="303" t="str">
        <x:v>1-3</x:v>
      </x:c>
      <x:c r="W96" s="303" t="str">
        <x:v>Primary recorder images; all pages OCRed; execution/legal exhibit visually reviewed.</x:v>
      </x:c>
      <x:c r="X96" s="303" t="str">
        <x:v>/private/tmp/osint-7Vd0k25d/franklin-reviewed-pages/c-wren-kg-ohio-bell-easement-b-1992</x:v>
      </x:c>
      <x:c r="Y96" s="303" t="str">
        <x:v>/private/tmp/osint-7Vd0k25d/franklin-reviewed-pages/c-wren-kg-ohio-bell-easement-b-1992/ocr</x:v>
      </x:c>
    </x:row>
    <x:row r="97" ht="66" customHeight="1">
      <x:c r="A97" s="303" t="str">
        <x:v>C-Wren / KG</x:v>
      </x:c>
      <x:c r="B97" s="315" t="str">
        <x:v>199209180189799</x:v>
      </x:c>
      <x:c r="C97" s="315" t="str">
        <x:v>123868674</x:v>
      </x:c>
      <x:c r="D97" s="312" t="n">
        <x:v>33865.5</x:v>
      </x:c>
      <x:c r="E97" s="312" t="str">
        <x:v>1992-09-08 (signature); 1992-09-09 acknowledgment</x:v>
      </x:c>
      <x:c r="F97" s="303" t="str">
        <x:v>Telephone Easement</x:v>
      </x:c>
      <x:c r="G97" s="303" t="str">
        <x:v>K-G Partners, an Ohio general partnership</x:v>
      </x:c>
      <x:c r="H97" s="303" t="str">
        <x:v>Ohio Bell Telephone Company</x:v>
      </x:c>
      <x:c r="I97" s="303" t="str">
        <x:v>K-L Partners, Inc. executes as KG managing partner.</x:v>
      </x:c>
      <x:c r="J97" s="303" t="str">
        <x:v>$1 and other good and valuable consideration.</x:v>
      </x:c>
      <x:c r="K97" s="303" t="str">
        <x:v>Franklin E. Kass — President, K-L Partners, Inc., managing partner of KG.</x:v>
      </x:c>
      <x:c r="L97" s="303" t="str">
        <x:v>David Sheidlower</x:v>
      </x:c>
      <x:c r="M97" s="303" t="str">
        <x:v>American Easement Corporation.</x:v>
      </x:c>
      <x:c r="N97" s="303" t="str">
        <x:v>Not stated.</x:v>
      </x:c>
      <x:c r="O97" s="303" t="str">
        <x:v>Telephone easement affecting the 32.517-acre KG tract; exhibit identifies Christopher Wren Apartments.</x:v>
      </x:c>
      <x:c r="P97" s="303" t="str">
        <x:v>Not stated.</x:v>
      </x:c>
      <x:c r="Q97" s="315" t="str">
        <x:v>Prior KG deed dated 1991-10-04 / OR 17785 A12.</x:v>
      </x:c>
      <x:c r="R97" s="303" t="str">
        <x:v>One of two distinct Ohio Bell easements over the apartment tract; nominal consideration is not a property sale price.</x:v>
      </x:c>
      <x:c r="S97" s="303" t="str">
        <x:v>https://franklin.oh.publicsearch.us/doc/123868674?department=RP</x:v>
      </x:c>
      <x:c r="T97" s="309" t="str">
        <x:v>3</x:v>
      </x:c>
      <x:c r="U97" s="303" t="str">
        <x:v>OCR completed for every page.</x:v>
      </x:c>
      <x:c r="V97" s="303" t="str">
        <x:v>1-3</x:v>
      </x:c>
      <x:c r="W97" s="303" t="str">
        <x:v>Primary recorder images; all pages OCRed; execution/legal exhibit visually reviewed.</x:v>
      </x:c>
      <x:c r="X97" s="303" t="str">
        <x:v>/private/tmp/osint-7Vd0k25d/franklin-reviewed-pages/c-wren-kg-ohio-bell-easement-a-1992</x:v>
      </x:c>
      <x:c r="Y97" s="303" t="str">
        <x:v>/private/tmp/osint-7Vd0k25d/franklin-reviewed-pages/c-wren-kg-ohio-bell-easement-a-1992/ocr</x:v>
      </x:c>
    </x:row>
    <x:row r="98" ht="66" customHeight="1">
      <x:c r="A98" s="303" t="str">
        <x:v>C-Wren / KG</x:v>
      </x:c>
      <x:c r="B98" s="315" t="str">
        <x:v>199305130127826</x:v>
      </x:c>
      <x:c r="C98" s="315" t="str">
        <x:v>124045815</x:v>
      </x:c>
      <x:c r="D98" s="312" t="n">
        <x:v>34102.5</x:v>
      </x:c>
      <x:c r="E98" s="312" t="str">
        <x:v>1993-04-16 (K-L acknowledgment); 1993-05-04 (C-Wren/Epstein acknowledgment)</x:v>
      </x:c>
      <x:c r="F98" s="303" t="str">
        <x:v>Quitclaim Deed</x:v>
      </x:c>
      <x:c r="G98" s="303" t="str">
        <x:v>KG Partners, an Ohio general partnership</x:v>
      </x:c>
      <x:c r="H98" s="303" t="str">
        <x:v>City of Columbus, Ohio</x:v>
      </x:c>
      <x:c r="I98" s="303" t="str">
        <x:v>KG executes through both partners: K-L Partners, Inc. and C-Wren Investment Corp. KG reserves perpetual ingress/egress over the conveyed right-of-way.</x:v>
      </x:c>
      <x:c r="J98" s="303" t="str">
        <x:v>$1 and other good and valuable consideration.</x:v>
      </x:c>
      <x:c r="K98" s="303" t="str">
        <x:v>Franklin E. Kass — President, K-L Partners, Inc.; Jeffrey E. Epstein — Vice President, C-Wren Investment Corp.</x:v>
      </x:c>
      <x:c r="L98" s="303" t="str">
        <x:v>Margaret A. McCandless (K-L acknowledgment); Harriet J. Feller (Epstein/C-Wren acknowledgment).</x:v>
      </x:c>
      <x:c r="M98" s="303" t="str">
        <x:v>David Sheidlower, Attorney-at-Law, 150 East Broad Street, Columbus, Ohio 43215; legal description by Richard J. Bull.</x:v>
      </x:c>
      <x:c r="N98" s="303" t="str">
        <x:v>City tax-mailing line left blank.</x:v>
      </x:c>
      <x:c r="O98" s="303" t="str">
        <x:v>1.147-acre Morse Road right-of-way out of KG's 33.664-acre tract; KG reserves perpetual ingress/egress.</x:v>
      </x:c>
      <x:c r="P98" s="303" t="str">
        <x:v>Not stated.</x:v>
      </x:c>
      <x:c r="Q98" s="315" t="str">
        <x:v>Prior title OR 17785 A12.</x:v>
      </x:c>
      <x:c r="R98" s="303" t="str">
        <x:v>Direct Epstein signature tied to a real-property disposition through C-Wren's KG partner capacity; it does not prove Epstein beneficially owned the tract.</x:v>
      </x:c>
      <x:c r="S98" s="303" t="str">
        <x:v>https://franklin.oh.publicsearch.us/doc/124045815?department=RP</x:v>
      </x:c>
      <x:c r="T98" s="309" t="str">
        <x:v>6</x:v>
      </x:c>
      <x:c r="U98" s="303" t="str">
        <x:v>OCR completed for every page.</x:v>
      </x:c>
      <x:c r="V98" s="303" t="str">
        <x:v>1-6</x:v>
      </x:c>
      <x:c r="W98" s="303" t="str">
        <x:v>Primary recorder images; all pages OCRed; operative, both execution/acknowledgment, legal, and plat pages visually reviewed.</x:v>
      </x:c>
      <x:c r="X98" s="303" t="str">
        <x:v>/private/tmp/osint-7Vd0k25d/franklin-reviewed-pages/c-wren-kg-city-deed-1993</x:v>
      </x:c>
      <x:c r="Y98" s="303" t="str">
        <x:v>/private/tmp/osint-7Vd0k25d/franklin-reviewed-pages/c-wren-kg-city-deed-1993/ocr</x:v>
      </x:c>
    </x:row>
    <x:row r="99" ht="66" customHeight="1">
      <x:c r="A99" s="303" t="str">
        <x:v>C-Wren / KG</x:v>
      </x:c>
      <x:c r="B99" s="315" t="str">
        <x:v>190001010010734</x:v>
      </x:c>
      <x:c r="C99" s="315" t="str">
        <x:v>131773017</x:v>
      </x:c>
      <x:c r="D99" s="312" t="str">
        <x:v>1993-06-17 on image (index/instrument number uses 1900-01-01 placeholder)</x:v>
      </x:c>
      <x:c r="E99" s="312" t="n">
        <x:v>34117.5</x:v>
      </x:c>
      <x:c r="F99" s="303" t="str">
        <x:v>Morse Road and Easements Dedication Plat</x:v>
      </x:c>
      <x:c r="G99" s="303" t="str">
        <x:v>KG Partners</x:v>
      </x:c>
      <x:c r="H99" s="303" t="str">
        <x:v>City of Gahanna / public dedication</x:v>
      </x:c>
      <x:c r="I99" s="303" t="str">
        <x:v>KG is expressly described as owner; Franklin E. Kass signs as KG general partner.</x:v>
      </x:c>
      <x:c r="J99" s="303" t="str">
        <x:v>Public road/easement dedication; no sale price.</x:v>
      </x:c>
      <x:c r="K99" s="303" t="str">
        <x:v>Franklin E. Kass — General Partner, KG Partners.</x:v>
      </x:c>
      <x:c r="L99" s="303" t="str">
        <x:v>Margaret A. McCandless</x:v>
      </x:c>
      <x:c r="M99" s="303" t="str">
        <x:v>C.F. Bird &amp; R.J. Bull, Inc., 2875 West Dublin-Granville Road, Worthington, Ohio 43235.</x:v>
      </x:c>
      <x:c r="N99" s="303" t="str">
        <x:v>Not stated.</x:v>
      </x:c>
      <x:c r="O99" s="303" t="str">
        <x:v>32.517 acres out of original 33.664-acre KG tract; dedicates Morse Road/easements and limits direct vehicular access.</x:v>
      </x:c>
      <x:c r="P99" s="303" t="str">
        <x:v>Not stated.</x:v>
      </x:c>
      <x:c r="Q99" s="315" t="str">
        <x:v>Prior OR 17785 A12; amended/preservation-zone copy 190001010010736.</x:v>
      </x:c>
      <x:c r="R99" s="303" t="str">
        <x:v>Corrects the portal's 1900 placeholder: the plat was executed and recorded in 1993 and documents KG as record owner/developer.</x:v>
      </x:c>
      <x:c r="S99" s="303" t="str">
        <x:v>https://franklin.oh.publicsearch.us/doc/131773017?department=RP</x:v>
      </x:c>
      <x:c r="T99" s="309" t="str">
        <x:v>2</x:v>
      </x:c>
      <x:c r="U99" s="303" t="str">
        <x:v>OCR completed for every page.</x:v>
      </x:c>
      <x:c r="V99" s="303" t="str">
        <x:v>1-2</x:v>
      </x:c>
      <x:c r="W99" s="303" t="str">
        <x:v>Primary recorder plat images; both pages OCRed and visually reviewed.</x:v>
      </x:c>
      <x:c r="X99" s="303" t="str">
        <x:v>/private/tmp/osint-7Vd0k25d/franklin-reviewed-pages/c-wren-kg-morse-road-plat</x:v>
      </x:c>
      <x:c r="Y99" s="303" t="str">
        <x:v>/private/tmp/osint-7Vd0k25d/franklin-reviewed-pages/c-wren-kg-morse-road-plat/ocr</x:v>
      </x:c>
    </x:row>
    <x:row r="100" ht="66" customHeight="1">
      <x:c r="A100" s="303" t="str">
        <x:v>C-Wren / KG</x:v>
      </x:c>
      <x:c r="B100" s="315" t="str">
        <x:v>190001010010736</x:v>
      </x:c>
      <x:c r="C100" s="315" t="str">
        <x:v>131773021</x:v>
      </x:c>
      <x:c r="D100" s="312" t="str">
        <x:v>1993-06-22 on image (index/instrument number uses 1900-01-01 placeholder)</x:v>
      </x:c>
      <x:c r="E100" s="312" t="n">
        <x:v>34117.5</x:v>
      </x:c>
      <x:c r="F100" s="303" t="str">
        <x:v>Amendment to Morse Road and Easements Dedication Plat</x:v>
      </x:c>
      <x:c r="G100" s="303" t="str">
        <x:v>KG Partners</x:v>
      </x:c>
      <x:c r="H100" s="303" t="str">
        <x:v>City of Gahanna / public dedication</x:v>
      </x:c>
      <x:c r="I100" s="303" t="str">
        <x:v>Handwritten amendment adds a preservation zone; KG remains owner and Franklin E. Kass signs as KG general partner.</x:v>
      </x:c>
      <x:c r="J100" s="303" t="str">
        <x:v>Plat amendment; no sale price.</x:v>
      </x:c>
      <x:c r="K100" s="303" t="str">
        <x:v>Franklin E. Kass — General Partner, KG Partners.</x:v>
      </x:c>
      <x:c r="L100" s="303" t="str">
        <x:v>Margaret A. McCandless</x:v>
      </x:c>
      <x:c r="M100" s="303" t="str">
        <x:v>C.F. Bird &amp; R.J. Bull, Inc., 2875 West Dublin-Granville Road, Worthington, Ohio 43235.</x:v>
      </x:c>
      <x:c r="N100" s="303" t="str">
        <x:v>Not stated.</x:v>
      </x:c>
      <x:c r="O100" s="303" t="str">
        <x:v>32.517-acre plat; amendment adds a preservation zone.</x:v>
      </x:c>
      <x:c r="P100" s="303" t="str">
        <x:v>Not stated.</x:v>
      </x:c>
      <x:c r="Q100" s="315" t="str">
        <x:v>Amends plat 190001010010734 / Plat Book 77 pages 95-96; recorded at Plat Book 77 pages 98-99.</x:v>
      </x:c>
      <x:c r="R100" s="303" t="str">
        <x:v>Second 1993 plat event hidden behind a 1900 placeholder; not a century-old KG record.</x:v>
      </x:c>
      <x:c r="S100" s="303" t="str">
        <x:v>https://franklin.oh.publicsearch.us/doc/131773021?department=RP</x:v>
      </x:c>
      <x:c r="T100" s="309" t="str">
        <x:v>2</x:v>
      </x:c>
      <x:c r="U100" s="303" t="str">
        <x:v>OCR completed for every page.</x:v>
      </x:c>
      <x:c r="V100" s="303" t="str">
        <x:v>1-2</x:v>
      </x:c>
      <x:c r="W100" s="303" t="str">
        <x:v>Primary recorder plat images; both pages OCRed and visually reviewed.</x:v>
      </x:c>
      <x:c r="X100" s="303" t="str">
        <x:v>/private/tmp/osint-7Vd0k25d/franklin-reviewed-pages/c-wren-kg-morse-road-plat-amendment</x:v>
      </x:c>
      <x:c r="Y100" s="303" t="str">
        <x:v>/private/tmp/osint-7Vd0k25d/franklin-reviewed-pages/c-wren-kg-morse-road-plat-amendment/ocr</x:v>
      </x:c>
    </x:row>
    <x:row r="101" ht="66" customHeight="1">
      <x:c r="A101" s="303" t="str">
        <x:v>C-Wren / KG</x:v>
      </x:c>
      <x:c r="B101" s="315" t="str">
        <x:v>199307090167426</x:v>
      </x:c>
      <x:c r="C101" s="315" t="str">
        <x:v>124092701</x:v>
      </x:c>
      <x:c r="D101" s="312" t="n">
        <x:v>34159.5</x:v>
      </x:c>
      <x:c r="E101" s="312" t="n">
        <x:v>34159.5</x:v>
      </x:c>
      <x:c r="F101" s="303" t="str">
        <x:v>Special Warranty Deed</x:v>
      </x:c>
      <x:c r="G101" s="303" t="str">
        <x:v>KG Partners</x:v>
      </x:c>
      <x:c r="H101" s="303" t="str">
        <x:v>Christopher Wren Apartments Limited Partnership</x:v>
      </x:c>
      <x:c r="I101" s="303" t="str">
        <x:v>KG conveys through K-L Partners, Inc. as general partner; C-Wren does not separately execute this deed.</x:v>
      </x:c>
      <x:c r="J101" s="303" t="str">
        <x:v>$10 and other good and valuable consideration. Recorder conveyance-tax stamps are not treated as the stated sale price.</x:v>
      </x:c>
      <x:c r="K101" s="303" t="str">
        <x:v>Franklin E. Kass — President, K-L Partners, Inc., general partner of KG.</x:v>
      </x:c>
      <x:c r="L101" s="303" t="str">
        <x:v>John B. Rohyans</x:v>
      </x:c>
      <x:c r="M101" s="303" t="str">
        <x:v>John B. Rohyans, Porter, Wright, Morris &amp; Arthur, 41 South High Street, Columbus, Ohio 43215.</x:v>
      </x:c>
      <x:c r="N101" s="303" t="str">
        <x:v>Grantee c/o Continental Real Estate Companies, 150 East Broad Street, attention Franklin E. Kass.</x:v>
      </x:c>
      <x:c r="O101" s="303" t="str">
        <x:v>33.664-acre tract (32.517 net after existing road right-of-way), subject to listed exceptions.</x:v>
      </x:c>
      <x:c r="P101" s="303" t="str">
        <x:v>025-4294 and 025-4278 (transaction-family references).</x:v>
      </x:c>
      <x:c r="Q101" s="315" t="str">
        <x:v>Prior KG deed OR 17785 A12; followed by Bank One and Cherry mortgage releases 199307120168458-168459.</x:v>
      </x:c>
      <x:c r="R101" s="303" t="str">
        <x:v>Moves fee title from KG into the apartment limited partnership; nominal deed consideration does not reveal the actual transaction price.</x:v>
      </x:c>
      <x:c r="S101" s="303" t="str">
        <x:v>https://franklin.oh.publicsearch.us/doc/124092701?department=RP</x:v>
      </x:c>
      <x:c r="T101" s="309" t="str">
        <x:v>5</x:v>
      </x:c>
      <x:c r="U101" s="303" t="str">
        <x:v>OCR completed for every page.</x:v>
      </x:c>
      <x:c r="V101" s="303" t="str">
        <x:v>1-5</x:v>
      </x:c>
      <x:c r="W101" s="303" t="str">
        <x:v>Primary recorder images; all pages OCRed; deed, execution, legal description, and exceptions visually reviewed.</x:v>
      </x:c>
      <x:c r="X101" s="303" t="str">
        <x:v>/private/tmp/osint-7Vd0k25d/franklin-reviewed-pages/c-wren-kg-to-christopher-wren-deed-1993</x:v>
      </x:c>
      <x:c r="Y101" s="303" t="str">
        <x:v>/private/tmp/osint-7Vd0k25d/franklin-reviewed-pages/c-wren-kg-to-christopher-wren-deed-1993/ocr</x:v>
      </x:c>
    </x:row>
    <x:row r="102" ht="66" customHeight="1">
      <x:c r="A102" s="303" t="str">
        <x:v>C-Wren / KG</x:v>
      </x:c>
      <x:c r="B102" s="315" t="str">
        <x:v>199307120168458</x:v>
      </x:c>
      <x:c r="C102" s="315" t="str">
        <x:v>124094198</x:v>
      </x:c>
      <x:c r="D102" s="312" t="str">
        <x:v>1993-07-12 14:02</x:v>
      </x:c>
      <x:c r="E102" s="312" t="n">
        <x:v>34159.5</x:v>
      </x:c>
      <x:c r="F102" s="303" t="str">
        <x:v>Release of Open-End Mortgage</x:v>
      </x:c>
      <x:c r="G102" s="303" t="str">
        <x:v>Bank One, Columbus, N.A. (mortgagee/releasor)</x:v>
      </x:c>
      <x:c r="H102" s="303" t="str">
        <x:v>KG Partners (mortgagor/released lien)</x:v>
      </x:c>
      <x:c r="I102" s="303" t="str">
        <x:v>Bank One states its 1991 KG open-end mortgage is satisfied in full and released of record.</x:v>
      </x:c>
      <x:c r="J102" s="303" t="str">
        <x:v>Releases the mortgage that secured up to $12,000,000; actual payoff amount is not stated.</x:v>
      </x:c>
      <x:c r="K102" s="303" t="str">
        <x:v>Roger W. Reeves — Vice President, Bank One.</x:v>
      </x:c>
      <x:c r="L102" s="303" t="str">
        <x:v>David K. Conrad</x:v>
      </x:c>
      <x:c r="M102" s="303" t="str">
        <x:v>Charles H. McCreary III, Bricker &amp; Eckler, 100 South Third Street, Columbus, Ohio 43215.</x:v>
      </x:c>
      <x:c r="N102" s="303" t="str">
        <x:v>Not stated.</x:v>
      </x:c>
      <x:c r="O102" s="303" t="str">
        <x:v>Release references the KG mortgage at OR 17785 B03.</x:v>
      </x:c>
      <x:c r="P102" s="303" t="str">
        <x:v>025-4294 and 025-4278 (underlying transaction family).</x:v>
      </x:c>
      <x:c r="Q102" s="315" t="str">
        <x:v>Releases 199110040159340 / OR 17785 B03; recorded immediately before Cherry seller release 199307120168459.</x:v>
      </x:c>
      <x:c r="R102" s="303" t="str">
        <x:v>Closes the senior Bank One recorded-mortgage chain; does not state payoff amount or prove every possible obligation was extinguished.</x:v>
      </x:c>
      <x:c r="S102" s="303" t="str">
        <x:v>https://franklin.oh.publicsearch.us/doc/124094198?department=RP</x:v>
      </x:c>
      <x:c r="T102" s="309" t="str">
        <x:v>1</x:v>
      </x:c>
      <x:c r="U102" s="303" t="str">
        <x:v>OCR completed.</x:v>
      </x:c>
      <x:c r="V102" s="303" t="str">
        <x:v>1</x:v>
      </x:c>
      <x:c r="W102" s="303" t="str">
        <x:v>Primary recorder image; OCRed and visually reviewed.</x:v>
      </x:c>
      <x:c r="X102" s="303" t="str">
        <x:v>/private/tmp/osint-7Vd0k25d/franklin-reviewed-pages/c-wren-kg-bank-one-release-1993</x:v>
      </x:c>
      <x:c r="Y102" s="303" t="str">
        <x:v>/private/tmp/osint-7Vd0k25d/franklin-reviewed-pages/c-wren-kg-bank-one-release-1993/ocr</x:v>
      </x:c>
    </x:row>
    <x:row r="103" ht="66" customHeight="1">
      <x:c r="A103" s="303" t="str">
        <x:v>C-Wren / KG</x:v>
      </x:c>
      <x:c r="B103" s="315" t="str">
        <x:v>199307120168459</x:v>
      </x:c>
      <x:c r="C103" s="315" t="str">
        <x:v>124094199</x:v>
      </x:c>
      <x:c r="D103" s="312" t="str">
        <x:v>1993-07-12 14:02</x:v>
      </x:c>
      <x:c r="E103" s="312" t="n">
        <x:v>34158.5</x:v>
      </x:c>
      <x:c r="F103" s="303" t="str">
        <x:v>Satisfaction of Mortgage</x:v>
      </x:c>
      <x:c r="G103" s="303" t="str">
        <x:v>Cherry Bottom Properties, Inc., mortgagee</x:v>
      </x:c>
      <x:c r="H103" s="303" t="str">
        <x:v>KG Partners mortgage released</x:v>
      </x:c>
      <x:c r="I103" s="303" t="str">
        <x:v>Properties certifies the KG mortgage fully paid and satisfied as to the described property and authorizes discharge.</x:v>
      </x:c>
      <x:c r="J103" s="303" t="str">
        <x:v>Full satisfaction of the $1,080,000 mortgage recorded as OR 17785 C13.</x:v>
      </x:c>
      <x:c r="K103" s="303" t="str">
        <x:v>Jeffrey J. Smith — Secretary, Cherry Bottom Properties, Inc.</x:v>
      </x:c>
      <x:c r="L103" s="303" t="str">
        <x:v>Amy B. Rice</x:v>
      </x:c>
      <x:c r="M103" s="303" t="str">
        <x:v>Richard W. Rubenstein, Schwartz, Kelm, Warren &amp; Rubenstein, 41 South High Street, Columbus, Ohio 43215; 614-222-3000.</x:v>
      </x:c>
      <x:c r="N103" s="303" t="str">
        <x:v>Not stated on instrument.</x:v>
      </x:c>
      <x:c r="O103" s="303" t="str">
        <x:v>Release covers the 33.664-acre / 32.517-net tract.</x:v>
      </x:c>
      <x:c r="P103" s="303" t="str">
        <x:v>025-4294 and 025-4278</x:v>
      </x:c>
      <x:c r="Q103" s="315" t="str">
        <x:v>Releases mortgage 199110040159341, dated 1991-09-30 and recorded 1991-10-04 at OR 17785 C13.</x:v>
      </x:c>
      <x:c r="R103" s="303" t="str">
        <x:v>Closes the seller-financing trail: Properties' $1.08 million mortgage was satisfied by July 1993.</x:v>
      </x:c>
      <x:c r="S103" s="303" t="str">
        <x:v>https://franklin.oh.publicsearch.us/doc/124094199?department=RP</x:v>
      </x:c>
      <x:c r="T103" s="309" t="str">
        <x:v>2</x:v>
      </x:c>
      <x:c r="U103" s="303" t="str">
        <x:v>OCR completed for every page.</x:v>
      </x:c>
      <x:c r="V103" s="303" t="str">
        <x:v>1</x:v>
      </x:c>
      <x:c r="W103" s="303" t="str">
        <x:v>Primary recorder images; all pages OCRed; operative/execution page visually inspected.</x:v>
      </x:c>
      <x:c r="X103" s="303" t="str">
        <x:v>/private/tmp/osint-7Vd0k25d/cherry-images/199307120168459</x:v>
      </x:c>
      <x:c r="Y103" s="303" t="str">
        <x:v>/private/tmp/osint-7Vd0k25d/cherry-images/199307120168459/ocr</x:v>
      </x:c>
    </x:row>
    <x:row r="104" ht="66" customHeight="1">
      <x:c r="A104" s="303" t="str">
        <x:v>C-Wren / KG</x:v>
      </x:c>
      <x:c r="B104" s="315" t="str">
        <x:v>199307130023483</x:v>
      </x:c>
      <x:c r="C104" s="315" t="str">
        <x:v>124094930</x:v>
      </x:c>
      <x:c r="D104" s="312" t="n">
        <x:v>34163.5</x:v>
      </x:c>
      <x:c r="E104" s="312" t="str">
        <x:v>Not available; portal page image missing.</x:v>
      </x:c>
      <x:c r="F104" s="303" t="str">
        <x:v>Release of Financing Statement</x:v>
      </x:c>
      <x:c r="G104" s="303" t="str">
        <x:v>KG Partners (indexed record owner/debtor)</x:v>
      </x:c>
      <x:c r="H104" s="303" t="str">
        <x:v>Not exposed in exact-party index.</x:v>
      </x:c>
      <x:c r="I104" s="303" t="str">
        <x:v>Portal index labels a financing-statement release; image endpoint reports no page 1.</x:v>
      </x:c>
      <x:c r="J104" s="303" t="str">
        <x:v>Not available from index.</x:v>
      </x:c>
      <x:c r="K104" s="303" t="str">
        <x:v>Not available.</x:v>
      </x:c>
      <x:c r="L104" s="303" t="str">
        <x:v>Not available.</x:v>
      </x:c>
      <x:c r="M104" s="303" t="str">
        <x:v>Not available.</x:v>
      </x:c>
      <x:c r="N104" s="303" t="str">
        <x:v>Not available.</x:v>
      </x:c>
      <x:c r="O104" s="303" t="str">
        <x:v>Not exposed in index.</x:v>
      </x:c>
      <x:c r="P104" s="303" t="str">
        <x:v>Not exposed in index.</x:v>
      </x:c>
      <x:c r="Q104" s="315" t="str">
        <x:v>Same-day companion release 199307130023484; exact linkage requires the missing image.</x:v>
      </x:c>
      <x:c r="R104" s="303" t="str">
        <x:v>Candidate UCC-release event only; no secured party, collateral, or merger conclusion is drawn without the image.</x:v>
      </x:c>
      <x:c r="S104" s="303" t="str">
        <x:v>https://franklin.oh.publicsearch.us/doc/124094930?department=RP</x:v>
      </x:c>
      <x:c r="T104" s="309" t="str">
        <x:v>1 indexed; zero retrievable images</x:v>
      </x:c>
      <x:c r="U104" s="303" t="str">
        <x:v>Unavailable because the public page-image endpoint has no page 1.</x:v>
      </x:c>
      <x:c r="V104" s="303" t="str">
        <x:v>None; image unavailable.</x:v>
      </x:c>
      <x:c r="W104" s="303" t="str">
        <x:v>Complete exact-party index/detail metadata only; image retrieval returned document-has-no-page error.</x:v>
      </x:c>
      <x:c r="X104" s="303"/>
      <x:c r="Y104" s="303"/>
    </x:row>
    <x:row r="105" ht="66" customHeight="1">
      <x:c r="A105" s="303" t="str">
        <x:v>C-Wren / KG</x:v>
      </x:c>
      <x:c r="B105" s="315" t="str">
        <x:v>199307130023484</x:v>
      </x:c>
      <x:c r="C105" s="315" t="str">
        <x:v>124094932</x:v>
      </x:c>
      <x:c r="D105" s="312" t="n">
        <x:v>34163.5</x:v>
      </x:c>
      <x:c r="E105" s="312" t="str">
        <x:v>Not available; portal page image missing.</x:v>
      </x:c>
      <x:c r="F105" s="303" t="str">
        <x:v>Release of Financing Statement</x:v>
      </x:c>
      <x:c r="G105" s="303" t="str">
        <x:v>KG Partners (indexed record owner/debtor)</x:v>
      </x:c>
      <x:c r="H105" s="303" t="str">
        <x:v>Not exposed in exact-party index.</x:v>
      </x:c>
      <x:c r="I105" s="303" t="str">
        <x:v>Portal index labels a financing-statement release; image endpoint reports no page 1.</x:v>
      </x:c>
      <x:c r="J105" s="303" t="str">
        <x:v>Not available from index.</x:v>
      </x:c>
      <x:c r="K105" s="303" t="str">
        <x:v>Not available.</x:v>
      </x:c>
      <x:c r="L105" s="303" t="str">
        <x:v>Not available.</x:v>
      </x:c>
      <x:c r="M105" s="303" t="str">
        <x:v>Not available.</x:v>
      </x:c>
      <x:c r="N105" s="303" t="str">
        <x:v>Not available.</x:v>
      </x:c>
      <x:c r="O105" s="303" t="str">
        <x:v>Not exposed in index.</x:v>
      </x:c>
      <x:c r="P105" s="303" t="str">
        <x:v>Not exposed in index.</x:v>
      </x:c>
      <x:c r="Q105" s="315" t="str">
        <x:v>Same-day companion release 199307130023483; exact linkage requires the missing image.</x:v>
      </x:c>
      <x:c r="R105" s="303" t="str">
        <x:v>Candidate UCC-release event only; no secured party, collateral, or merger conclusion is drawn without the image.</x:v>
      </x:c>
      <x:c r="S105" s="303" t="str">
        <x:v>https://franklin.oh.publicsearch.us/doc/124094932?department=RP</x:v>
      </x:c>
      <x:c r="T105" s="309" t="str">
        <x:v>1 indexed; zero retrievable images</x:v>
      </x:c>
      <x:c r="U105" s="303" t="str">
        <x:v>Unavailable because the public page-image endpoint has no page 1.</x:v>
      </x:c>
      <x:c r="V105" s="303" t="str">
        <x:v>None; image unavailable.</x:v>
      </x:c>
      <x:c r="W105" s="303" t="str">
        <x:v>Complete exact-party index/detail metadata only; image retrieval returned document-has-no-page error.</x:v>
      </x:c>
      <x:c r="X105" s="303"/>
      <x:c r="Y105" s="303"/>
    </x:row>
    <x:row r="106" ht="66" customHeight="1">
      <x:c r="A106" s="303" t="str">
        <x:v>C-Wren / KG</x:v>
      </x:c>
      <x:c r="B106" s="315" t="str">
        <x:v>199307130169303</x:v>
      </x:c>
      <x:c r="C106" s="315" t="str">
        <x:v>124094947</x:v>
      </x:c>
      <x:c r="D106" s="312" t="n">
        <x:v>34163.5</x:v>
      </x:c>
      <x:c r="E106" s="312" t="str">
        <x:v>1993-07-13 file date</x:v>
      </x:c>
      <x:c r="F106" s="303" t="str">
        <x:v>Release of Real-Estate Financing Statement</x:v>
      </x:c>
      <x:c r="G106" s="303" t="str">
        <x:v>K.G. Partners (record owner/debtor)</x:v>
      </x:c>
      <x:c r="H106" s="303" t="str">
        <x:v>Bank One (secured party)</x:v>
      </x:c>
      <x:c r="I106" s="303" t="str">
        <x:v>Recorder form marks RE/FS and 'terminated.'</x:v>
      </x:c>
      <x:c r="J106" s="303" t="str">
        <x:v>No amount stated.</x:v>
      </x:c>
      <x:c r="K106" s="303" t="str">
        <x:v>Recorder termination form; no party signature shown.</x:v>
      </x:c>
      <x:c r="L106" s="303" t="str">
        <x:v>Not applicable.</x:v>
      </x:c>
      <x:c r="M106" s="303" t="str">
        <x:v>Not stated.</x:v>
      </x:c>
      <x:c r="N106" s="303" t="str">
        <x:v>Not stated.</x:v>
      </x:c>
      <x:c r="O106" s="303" t="str">
        <x:v>Net usable acreage of 32.517 acres.</x:v>
      </x:c>
      <x:c r="P106" s="303" t="str">
        <x:v>Not stated.</x:v>
      </x:c>
      <x:c r="Q106" s="315" t="str">
        <x:v>References original OR 3208 A12 / 1991 financing file 78496.</x:v>
      </x:c>
      <x:c r="R106" s="303" t="str">
        <x:v>Closes the image-verifiable Bank One real-estate financing statement associated with the mortgage package.</x:v>
      </x:c>
      <x:c r="S106" s="303" t="str">
        <x:v>https://franklin.oh.publicsearch.us/doc/124094947?department=RP</x:v>
      </x:c>
      <x:c r="T106" s="309" t="str">
        <x:v>1</x:v>
      </x:c>
      <x:c r="U106" s="303" t="str">
        <x:v>OCR completed; handwriting checked against image.</x:v>
      </x:c>
      <x:c r="V106" s="303" t="str">
        <x:v>1</x:v>
      </x:c>
      <x:c r="W106" s="303" t="str">
        <x:v>Primary recorder image; OCRed and visually reviewed.</x:v>
      </x:c>
      <x:c r="X106" s="303" t="str">
        <x:v>/private/tmp/osint-7Vd0k25d/franklin-reviewed-pages/c-wren-kg-real-estate-financing-release-1993</x:v>
      </x:c>
      <x:c r="Y106" s="303" t="str">
        <x:v>/private/tmp/osint-7Vd0k25d/franklin-reviewed-pages/c-wren-kg-real-estate-financing-release-1993/ocr</x:v>
      </x:c>
    </x:row>
    <x:row r="107" ht="66" customHeight="1">
      <x:c r="A107" s="303" t="str">
        <x:v>H.H.D.&amp;B.</x:v>
      </x:c>
      <x:c r="B107" s="315" t="str">
        <x:v>199805130116673</x:v>
      </x:c>
      <x:c r="C107" s="315" t="str">
        <x:v>125390238</x:v>
      </x:c>
      <x:c r="D107" s="312" t="n">
        <x:v>35928.5</x:v>
      </x:c>
      <x:c r="E107" s="312" t="n">
        <x:v>35927.5</x:v>
      </x:c>
      <x:c r="F107" s="303" t="str">
        <x:v>General Warranty Deed</x:v>
      </x:c>
      <x:c r="G107" s="303" t="str">
        <x:v>Jeffrey E. Epstein, an unmarried man</x:v>
      </x:c>
      <x:c r="H107" s="303" t="str">
        <x:v>H.H.D.&amp;B., LLC, an Ohio limited liability company</x:v>
      </x:c>
      <x:c r="I107" s="303" t="str">
        <x:v>Direct fee conveyance; no successor or merger wording.</x:v>
      </x:c>
      <x:c r="J107" s="303" t="str">
        <x:v>Valuable consideration paid; amount not stated in the deed text. The $8,000 recorder/auditor stamp is conveyance tax, not a face-stated sale price. A separate Auditor sales record reports $8,000,000.</x:v>
      </x:c>
      <x:c r="K107" s="303" t="str">
        <x:v>Jeffrey E. Epstein — grantor</x:v>
      </x:c>
      <x:c r="L107" s="303" t="str">
        <x:v>Harry I. Beller, Notary Public, State of New York</x:v>
      </x:c>
      <x:c r="M107" s="303" t="str">
        <x:v>William Zabkar, Attorney-at-Law, 2800 Corporate Exchange Drive, Suite 160, Columbus, Ohio 43231; file 9801875</x:v>
      </x:c>
      <x:c r="N107" s="303" t="str">
        <x:v>Grantee tax mailing: P.O. Box 204, New Albany, Ohio 43054</x:v>
      </x:c>
      <x:c r="O107" s="303" t="str">
        <x:v>30.368-acre tract at 5025 Granville Road, with easement rights described in OR 21049D03 and OR 20149C18.</x:v>
      </x:c>
      <x:c r="P107" s="303" t="str">
        <x:v>222-001350</x:v>
      </x:c>
      <x:c r="Q107" s="315" t="str">
        <x:v>Prior OR 20149C18; the same 30.368-acre tract had been conveyed to Epstein in instrument 199211180228288; later construction notice 200112270301721.</x:v>
      </x:c>
      <x:c r="R107" s="303" t="str">
        <x:v>Direct primary title evidence that Epstein conveyed the 30.368-acre residential tract to H.H.D.&amp;B., LLC in 1998.</x:v>
      </x:c>
      <x:c r="S107" s="303" t="str">
        <x:v>https://franklin.oh.publicsearch.us/doc/125390238?department=RP</x:v>
      </x:c>
      <x:c r="T107" s="309" t="str">
        <x:v>2</x:v>
      </x:c>
      <x:c r="U107" s="303" t="str">
        <x:v>OCR completed for every page.</x:v>
      </x:c>
      <x:c r="V107" s="303" t="str">
        <x:v>1-2</x:v>
      </x:c>
      <x:c r="W107" s="303" t="str">
        <x:v>Primary recorder images; all pages OCRed; both pages visually inspected. Recorder-index data, OCR text, and image-derived facts are distinguished.</x:v>
      </x:c>
      <x:c r="X107" s="303" t="str">
        <x:v>/private/tmp/osint-7Vd0k25d/franklin-reviewed-pages/epstein-hhd-deed-1998</x:v>
      </x:c>
      <x:c r="Y107" s="303" t="str">
        <x:v>/private/tmp/osint-7Vd0k25d/franklin-reviewed-pages/epstein-hhd-deed-1998/ocr</x:v>
      </x:c>
    </x:row>
    <x:row r="108" ht="66" customHeight="1">
      <x:c r="A108" s="303" t="str">
        <x:v>H.H.D.&amp;B.</x:v>
      </x:c>
      <x:c r="B108" s="315" t="str">
        <x:v>200112270301721</x:v>
      </x:c>
      <x:c r="C108" s="315" t="str">
        <x:v>126471505</x:v>
      </x:c>
      <x:c r="D108" s="312" t="n">
        <x:v>37252.5</x:v>
      </x:c>
      <x:c r="E108" s="312" t="n">
        <x:v>37239.5</x:v>
      </x:c>
      <x:c r="F108" s="303" t="str">
        <x:v>Notice of Commencement</x:v>
      </x:c>
      <x:c r="G108" s="303" t="str">
        <x:v>HHD&amp;B LLC — owner/part owner/lessee contracting for the improvement</x:v>
      </x:c>
      <x:c r="H108" s="303" t="str">
        <x:v>A. Charles Miller / Miller &amp; Raved Inc. — designee and agent; recorder index places Miller in the grantee field, but the instrument is not a conveyance</x:v>
      </x:c>
      <x:c r="I108" s="303" t="str">
        <x:v>The form identifies HHD&amp;B LLC as the contracting party and Miller &amp; Raved's president as agent for the owner. The fee-owner field is blank because the form says to complete it only if the contracting party is a land-contract vendee or lessee.</x:v>
      </x:c>
      <x:c r="J108" s="303" t="str">
        <x:v>No conveyance consideration. The improvement-financing lender field says “None,” which concerns financing for the Rotunda House alterations only and does not establish that the parcel had no mortgage or other debt.</x:v>
      </x:c>
      <x:c r="K108" s="303" t="str">
        <x:v>A. Charles Miller — President, Miller &amp; Raved Inc., agent for the owner</x:v>
      </x:c>
      <x:c r="L108" s="303" t="str">
        <x:v>Notary signature visually present; typed name is not legible enough for a confident transcription.</x:v>
      </x:c>
      <x:c r="M108" s="303" t="str">
        <x:v>Daniel J. Minor, Vorys, Sater, Seymour &amp; Pease, 52 East Gay Street, Columbus, Ohio 43215</x:v>
      </x:c>
      <x:c r="N108" s="303" t="str">
        <x:v>Contracting party: HHD&amp;B LLC, 5225 Dublin-Granville Road, New Albany, Ohio 43054; designee: 2 Hamilton Avenue, Suite 207, New Rochelle, New York 10801</x:v>
      </x:c>
      <x:c r="O108" s="303" t="str">
        <x:v>Alterations to the Rotunda House on the same 30.368-acre legal tract; first original-contractor contract dated 2000-07-20.</x:v>
      </x:c>
      <x:c r="P108" s="303" t="str">
        <x:v>222-001350 (matched by the 30.368-acre legal description and the 1998 HHD deed)</x:v>
      </x:c>
      <x:c r="Q108" s="315" t="str">
        <x:v>Exhibit A repeats the 30.368-acre legal description; related HHD acquisition deed 199805130116673.</x:v>
      </x:c>
      <x:c r="R108" s="303" t="str">
        <x:v>Direct evidence that HHD&amp;B LLC was the contracting owner/part owner/lessee for Rotunda House alterations by 2001; not a deed or mortgage record.</x:v>
      </x:c>
      <x:c r="S108" s="303" t="str">
        <x:v>https://franklin.oh.publicsearch.us/doc/126471505?department=RP</x:v>
      </x:c>
      <x:c r="T108" s="309" t="str">
        <x:v>6</x:v>
      </x:c>
      <x:c r="U108" s="303" t="str">
        <x:v>OCR completed for every page.</x:v>
      </x:c>
      <x:c r="V108" s="303" t="str">
        <x:v>1-4</x:v>
      </x:c>
      <x:c r="W108" s="303" t="str">
        <x:v>Primary recorder images; all pages OCRed; operative, signature/acknowledgment, and legal-description pages visually inspected. The recorder party index is not treated as the instrument's legal capacity.</x:v>
      </x:c>
      <x:c r="X108" s="303" t="str">
        <x:v>/private/tmp/osint-7Vd0k25d/franklin-reviewed-pages/hhd-notice-2001</x:v>
      </x:c>
      <x:c r="Y108" s="303" t="str">
        <x:v>/private/tmp/osint-7Vd0k25d/franklin-reviewed-pages/hhd-notice-2001/ocr</x:v>
      </x:c>
    </x:row>
    <x:row r="109" ht="66" customHeight="1">
      <x:c r="A109" s="303" t="str">
        <x:v>H.H.D.&amp;B.</x:v>
      </x:c>
      <x:c r="B109" s="315" t="str">
        <x:v>201009300128654</x:v>
      </x:c>
      <x:c r="C109" s="315" t="str">
        <x:v>120770177</x:v>
      </x:c>
      <x:c r="D109" s="312" t="n">
        <x:v>40451.5</x:v>
      </x:c>
      <x:c r="E109" s="312" t="n">
        <x:v>40449.5</x:v>
      </x:c>
      <x:c r="F109" s="303" t="str">
        <x:v>Quit Claim Deed</x:v>
      </x:c>
      <x:c r="G109" s="303" t="str">
        <x:v>The New Albany Company LLC, a Delaware limited liability company</x:v>
      </x:c>
      <x:c r="H109" s="303" t="str">
        <x:v>MRC Land, LLC, an Ohio limited liability company, Trustee</x:v>
      </x:c>
      <x:c r="I109" s="303" t="str">
        <x:v>Grantor expressly described as successor in interest to The New Albany Company Limited Partnership, a Delaware limited partnership, and The New Albany Company, an Ohio general partnership.</x:v>
      </x:c>
      <x:c r="J109" s="303" t="str">
        <x:v>Valuable consideration paid; amount not stated. Auditor transfer stamp says conveyance tax exempt.</x:v>
      </x:c>
      <x:c r="K109" s="303" t="str">
        <x:v>Brent Bradbury — Chief Financial Officer, The New Albany Company LLC</x:v>
      </x:c>
      <x:c r="L109" s="303" t="str">
        <x:v>Lisa J. Dinger</x:v>
      </x:c>
      <x:c r="M109" s="303" t="str">
        <x:v>Prepared under the direction of The New Albany Company LLC, 8000 Walton Parkway, Suite 120, New Albany, Ohio 43054</x:v>
      </x:c>
      <x:c r="N109" s="303" t="str">
        <x:v>Grantee tax address: 8000 Walton Parkway, Suite 120, New Albany, Ohio 43054</x:v>
      </x:c>
      <x:c r="O109" s="303" t="str">
        <x:v>Face/index describe a 73.792-acre adjacent tract; the exhibit derives it from a 73.743-acre source tract and uses the HHD 30.368-acre tract as an eastern boundary.</x:v>
      </x:c>
      <x:c r="P109" s="303" t="str">
        <x:v>222-000055; 222-000316; 222-000770</x:v>
      </x:c>
      <x:c r="Q109" s="315" t="str">
        <x:v>Prior OR 16314A14, OR 21256E01, and instrument 199811120289607; reciprocal return deed 201009300128655.</x:v>
      </x:c>
      <x:c r="R109" s="303" t="str">
        <x:v>H.H.D.&amp;B., LLC is not a party and no HHD land is conveyed. Its name appears only in a metes-and-bounds boundary call citing deed 199805130116673.</x:v>
      </x:c>
      <x:c r="S109" s="303" t="str">
        <x:v>https://franklin.oh.publicsearch.us/doc/120770177?department=RP</x:v>
      </x:c>
      <x:c r="T109" s="309" t="str">
        <x:v>5</x:v>
      </x:c>
      <x:c r="U109" s="303" t="str">
        <x:v>OCR completed for every page.</x:v>
      </x:c>
      <x:c r="V109" s="303" t="str">
        <x:v>1-3</x:v>
      </x:c>
      <x:c r="W109" s="303" t="str">
        <x:v>OCR-discovered exact-name hit; primary recorder images; all pages OCRed; face, acknowledgment, and decisive boundary page visually inspected. Index parties are New Albany and MRC, not HHD.</x:v>
      </x:c>
      <x:c r="X109" s="303" t="str">
        <x:v>/private/tmp/osint-7Vd0k25d/franklin-reviewed-pages/hhd-adjacent-mrc-out-2010</x:v>
      </x:c>
      <x:c r="Y109" s="303" t="str">
        <x:v>/private/tmp/osint-7Vd0k25d/franklin-reviewed-pages/hhd-adjacent-mrc-out-2010/ocr</x:v>
      </x:c>
    </x:row>
    <x:row r="110" ht="66" customHeight="1">
      <x:c r="A110" s="303" t="str">
        <x:v>H.H.D.&amp;B.</x:v>
      </x:c>
      <x:c r="B110" s="315" t="str">
        <x:v>201009300128655</x:v>
      </x:c>
      <x:c r="C110" s="315" t="str">
        <x:v>120770181</x:v>
      </x:c>
      <x:c r="D110" s="312" t="n">
        <x:v>40451.5</x:v>
      </x:c>
      <x:c r="E110" s="312" t="n">
        <x:v>40449.5</x:v>
      </x:c>
      <x:c r="F110" s="303" t="str">
        <x:v>Quit Claim Deed</x:v>
      </x:c>
      <x:c r="G110" s="303" t="str">
        <x:v>MRC Land, LLC, an Ohio limited liability company, Trustee</x:v>
      </x:c>
      <x:c r="H110" s="303" t="str">
        <x:v>The New Albany Company LLC, a Delaware limited liability company</x:v>
      </x:c>
      <x:c r="I110" s="303" t="str">
        <x:v>Reciprocal conveyance back to New Albany; this deed contains no HHD successor or merger wording.</x:v>
      </x:c>
      <x:c r="J110" s="303" t="str">
        <x:v>Valuable consideration paid; amount not stated. Auditor transfer stamp says conveyance tax exempt.</x:v>
      </x:c>
      <x:c r="K110" s="303" t="str">
        <x:v>Brent Bradbury — Vice President/Treasurer, MRC Land, LLC, Trustee</x:v>
      </x:c>
      <x:c r="L110" s="303" t="str">
        <x:v>Lisa J. Dinger</x:v>
      </x:c>
      <x:c r="M110" s="303" t="str">
        <x:v>Prepared under the direction of The New Albany Company LLC, 8000 Walton Parkway, Suite 120, New Albany, Ohio 43054</x:v>
      </x:c>
      <x:c r="N110" s="303" t="str">
        <x:v>Grantee tax address: 8000 Walton Parkway, Suite 120, New Albany, Ohio 43054</x:v>
      </x:c>
      <x:c r="O110" s="303" t="str">
        <x:v>Same face/index 73.792-acre adjacent tract and metes-and-bounds description; HHD's 30.368-acre tract is only a boundary monument.</x:v>
      </x:c>
      <x:c r="P110" s="303" t="str">
        <x:v>222-000055; 222-000316; 222-000770</x:v>
      </x:c>
      <x:c r="Q110" s="315" t="str">
        <x:v>Immediately prior outbound deed 201009300128654; older references OR 16314A14, OR 21256E01, and instrument 199811120289607.</x:v>
      </x:c>
      <x:c r="R110" s="303" t="str">
        <x:v>H.H.D.&amp;B., LLC is not a party and no HHD land is conveyed. The reciprocal MRC transaction merely repeats the boundary citation to HHD deed 199805130116673.</x:v>
      </x:c>
      <x:c r="S110" s="303" t="str">
        <x:v>https://franklin.oh.publicsearch.us/doc/120770181?department=RP</x:v>
      </x:c>
      <x:c r="T110" s="309" t="str">
        <x:v>5</x:v>
      </x:c>
      <x:c r="U110" s="303" t="str">
        <x:v>OCR completed for every page.</x:v>
      </x:c>
      <x:c r="V110" s="303" t="str">
        <x:v>1-3</x:v>
      </x:c>
      <x:c r="W110" s="303" t="str">
        <x:v>OCR-discovered exact-name hit; primary recorder images; all pages OCRed; face, acknowledgment, and decisive boundary page visually inspected. Index parties are MRC and New Albany, not HHD.</x:v>
      </x:c>
      <x:c r="X110" s="303" t="str">
        <x:v>/private/tmp/osint-7Vd0k25d/franklin-reviewed-pages/hhd-adjacent-mrc-back-2010</x:v>
      </x:c>
      <x:c r="Y110" s="303" t="str">
        <x:v>/private/tmp/osint-7Vd0k25d/franklin-reviewed-pages/hhd-adjacent-mrc-back-2010/ocr</x:v>
      </x:c>
    </x:row>
    <x:row r="111" ht="66" customHeight="1">
      <x:c r="A111" s="303" t="str">
        <x:v>H.H.D.&amp;B.</x:v>
      </x:c>
      <x:c r="B111" s="315" t="str">
        <x:v>201012230175278</x:v>
      </x:c>
      <x:c r="C111" s="315" t="str">
        <x:v>120815707</x:v>
      </x:c>
      <x:c r="D111" s="312" t="n">
        <x:v>40535.5</x:v>
      </x:c>
      <x:c r="E111" s="312" t="str">
        <x:v>2010-12-21; effective 2010-12-20</x:v>
      </x:c>
      <x:c r="F111" s="303" t="str">
        <x:v>Open-End Mortgage, Assignment of Rents, Security Agreement and Fixture Filing</x:v>
      </x:c>
      <x:c r="G111" s="303" t="str">
        <x:v>The New Albany Company LLC, a Delaware limited liability company — Mortgagor</x:v>
      </x:c>
      <x:c r="H111" s="303" t="str">
        <x:v>JPMorgan Chase Bank, N.A. — Mortgagee</x:v>
      </x:c>
      <x:c r="I111" s="303" t="str">
        <x:v>New Albany is the mortgagor throughout. H.H.D.&amp;B., LLC is neither borrower nor mortgagor and appears only in one adjacent-tract boundary description.</x:v>
      </x:c>
      <x:c r="J111" s="303" t="str">
        <x:v>Maximum unpaid loan indebtedness of $50,000,000 across this mortgage and other mortgages: $45,000,000 revolving advances plus $5,000,000 letters of credit; note due 2012-11-30. This is New Albany portfolio debt, not HHD debt.</x:v>
      </x:c>
      <x:c r="K111" s="303" t="str">
        <x:v>Brent B. Bradbury — Chief Financial Officer, The New Albany Company LLC</x:v>
      </x:c>
      <x:c r="L111" s="303" t="str">
        <x:v>Lisa J. Dinger</x:v>
      </x:c>
      <x:c r="M111" s="303" t="str">
        <x:v>Christopher N. Swank, Esquire, Bricker &amp; Eckler LLP, 100 South Third Street, Columbus, Ohio 43215-4291</x:v>
      </x:c>
      <x:c r="N111" s="303" t="str">
        <x:v>Mortgagor notice: 8000 Walton Parkway, Suite 120, New Albany, Ohio 43054; mortgagee: 270 Park Avenue, New York, New York 10017-2014</x:v>
      </x:c>
      <x:c r="O111" s="303" t="str">
        <x:v>Large multi-tract New Albany mortgage exhibit; page 97 includes an adjacent 73.792-acre tract whose boundary cites HHD's separate 30.368-acre tract.</x:v>
      </x:c>
      <x:c r="P111" s="303" t="str">
        <x:v>Index lists 222-0004000; 010-289432; 223-000002; 545-289380; 222-000479; 222-000353; 222-000498; 222-000468; 222-000306; 222-000358, plus additional exhibit tracts; not 222-001350</x:v>
      </x:c>
      <x:c r="Q111" s="315" t="str">
        <x:v>Adjacent tract derives through deed 201009300128655 and repeats HHD deed reference 199805130116673.</x:v>
      </x:c>
      <x:c r="R111" s="303" t="str">
        <x:v>The $50 million mortgage cannot be attributed to HHD or parcel 222-001350. HHD appears only as the owner named in a boundary call for collateral belonging to New Albany.</x:v>
      </x:c>
      <x:c r="S111" s="303" t="str">
        <x:v>https://franklin.oh.publicsearch.us/doc/120815707?department=RP</x:v>
      </x:c>
      <x:c r="T111" s="309" t="str">
        <x:v>202</x:v>
      </x:c>
      <x:c r="U111" s="303" t="str">
        <x:v>OCR completed for every page.</x:v>
      </x:c>
      <x:c r="V111" s="303" t="str">
        <x:v>1, 3, 19, 97</x:v>
      </x:c>
      <x:c r="W111" s="303" t="str">
        <x:v>OCR-discovered exact-name hit; primary recorder images; all 202 pages OCRed; cover/party, debt, execution, and decisive HHD-boundary pages visually inspected. Index parties and listed parcels exclude HHD and 222-001350.</x:v>
      </x:c>
      <x:c r="X111" s="303" t="str">
        <x:v>/private/tmp/osint-7Vd0k25d/franklin-reviewed-pages/hhd-adjacent-chase-mortgage-2010</x:v>
      </x:c>
      <x:c r="Y111" s="303" t="str">
        <x:v>/private/tmp/osint-7Vd0k25d/franklin-reviewed-pages/hhd-adjacent-chase-mortgage-2010/ocr</x:v>
      </x:c>
    </x:row>
    <x:row r="112" ht="66" customHeight="1">
      <x:c r="A112" s="303" t="str">
        <x:v>H.H.D.&amp;B.</x:v>
      </x:c>
      <x:c r="B112" s="315" t="str">
        <x:v>201209250143271</x:v>
      </x:c>
      <x:c r="C112" s="315" t="str">
        <x:v>121607051</x:v>
      </x:c>
      <x:c r="D112" s="312" t="n">
        <x:v>41177.5</x:v>
      </x:c>
      <x:c r="E112" s="312" t="n">
        <x:v>41165.5</x:v>
      </x:c>
      <x:c r="F112" s="303" t="str">
        <x:v>Quit Claim Deed</x:v>
      </x:c>
      <x:c r="G112" s="303" t="str">
        <x:v>The New Albany Company LLC, a Delaware limited liability company</x:v>
      </x:c>
      <x:c r="H112" s="303" t="str">
        <x:v>Whitebarn Organics, LLC, an Ohio limited liability company</x:v>
      </x:c>
      <x:c r="I112" s="303" t="str">
        <x:v>Grantor expressly described as successor in interest to The New Albany Company Limited Partnership, a Delaware limited partnership, and The New Albany Company, an Ohio general partnership.</x:v>
      </x:c>
      <x:c r="J112" s="303" t="str">
        <x:v>Good and valuable consideration paid; amount not stated. Auditor transfer stamp says conveyance tax exempt.</x:v>
      </x:c>
      <x:c r="K112" s="303" t="str">
        <x:v>Peggy W. Ugland — authorized representative, The New Albany Company LLC</x:v>
      </x:c>
      <x:c r="L112" s="303" t="str">
        <x:v>Aaron L. Underhill</x:v>
      </x:c>
      <x:c r="M112" s="303" t="str">
        <x:v>Aaron L. Underhill, Esq., Underhill Law Office LLC, 8000 Walton Parkway, Suite 212, New Albany, Ohio 43054</x:v>
      </x:c>
      <x:c r="N112" s="303" t="str">
        <x:v>Grantee tax mailing: 8000 Walton Parkway, Suite 100, New Albany, Ohio 43054</x:v>
      </x:c>
      <x:c r="O112" s="303" t="str">
        <x:v>60.006-acre tract split from the adjacent 73.743-acre New Albany tract; HHD's 30.368-acre tract is used only as an eastern boundary.</x:v>
      </x:c>
      <x:c r="P112" s="303" t="str">
        <x:v>222-000316 (split; later 222-004502-00)</x:v>
      </x:c>
      <x:c r="Q112" s="315" t="str">
        <x:v>Face handwritten prior reference 201209250143270; legal description derives from 201009300128655; later return deed 201312310212561.</x:v>
      </x:c>
      <x:c r="R112" s="303" t="str">
        <x:v>H.H.D.&amp;B., LLC is not a party and no HHD land is conveyed. The deed only repeats boundary reference 199805130116673.</x:v>
      </x:c>
      <x:c r="S112" s="303" t="str">
        <x:v>https://franklin.oh.publicsearch.us/doc/121607051?department=RP</x:v>
      </x:c>
      <x:c r="T112" s="309" t="str">
        <x:v>3</x:v>
      </x:c>
      <x:c r="U112" s="303" t="str">
        <x:v>OCR completed for every page.</x:v>
      </x:c>
      <x:c r="V112" s="303" t="str">
        <x:v>1-2</x:v>
      </x:c>
      <x:c r="W112" s="303" t="str">
        <x:v>OCR-discovered exact-name hit; primary recorder images; all pages OCRed; face/signature and decisive boundary page visually inspected. Index parties are New Albany and Whitebarn, not HHD.</x:v>
      </x:c>
      <x:c r="X112" s="303" t="str">
        <x:v>/private/tmp/osint-7Vd0k25d/franklin-reviewed-pages/hhd-adjacent-whitebarn-out-2012</x:v>
      </x:c>
      <x:c r="Y112" s="303" t="str">
        <x:v>/private/tmp/osint-7Vd0k25d/franklin-reviewed-pages/hhd-adjacent-whitebarn-out-2012/ocr</x:v>
      </x:c>
    </x:row>
    <x:row r="113" ht="66" customHeight="1">
      <x:c r="A113" s="303" t="str">
        <x:v>H.H.D.&amp;B.</x:v>
      </x:c>
      <x:c r="B113" s="315" t="str">
        <x:v>201312310212561</x:v>
      </x:c>
      <x:c r="C113" s="315" t="str">
        <x:v>121887350</x:v>
      </x:c>
      <x:c r="D113" s="312" t="n">
        <x:v>41639.5</x:v>
      </x:c>
      <x:c r="E113" s="312" t="n">
        <x:v>41638.5</x:v>
      </x:c>
      <x:c r="F113" s="303" t="str">
        <x:v>Quit Claim Deed</x:v>
      </x:c>
      <x:c r="G113" s="303" t="str">
        <x:v>Whitebarn Organics, LLC, an Ohio limited liability company</x:v>
      </x:c>
      <x:c r="H113" s="303" t="str">
        <x:v>The New Albany Company LLC, a Delaware limited liability company</x:v>
      </x:c>
      <x:c r="I113" s="303" t="str">
        <x:v>Reciprocal return conveyance; no successor or merger recital for HHD.</x:v>
      </x:c>
      <x:c r="J113" s="303" t="str">
        <x:v>Good and valuable consideration paid; amount not stated. Auditor transfer stamp says conveyance tax exempt.</x:v>
      </x:c>
      <x:c r="K113" s="303" t="str">
        <x:v>Peggy W. Ugland — Manager, Whitebarn Organics, LLC</x:v>
      </x:c>
      <x:c r="L113" s="303" t="str">
        <x:v>Aaron L. Underhill</x:v>
      </x:c>
      <x:c r="M113" s="303" t="str">
        <x:v>Daniel J. Minor, Vorys, Sater, Seymour and Pease LLP, 52 East Gay Street, Columbus, Ohio 43215</x:v>
      </x:c>
      <x:c r="N113" s="303" t="str">
        <x:v>Grantee tax mailing: 8000 Walton Parkway, Suite 100, New Albany, Ohio 43054</x:v>
      </x:c>
      <x:c r="O113" s="303" t="str">
        <x:v>60.006-acre adjacent tract; HHD's 30.368-acre tract is only an eastern boundary.</x:v>
      </x:c>
      <x:c r="P113" s="303" t="str">
        <x:v>222-004502-00</x:v>
      </x:c>
      <x:c r="Q113" s="315" t="str">
        <x:v>Prior instrument 201209250143271; later Whitebarn conveyance 202309150096034.</x:v>
      </x:c>
      <x:c r="R113" s="303" t="str">
        <x:v>H.H.D.&amp;B., LLC is not a party and no HHD land is conveyed. The deed repeats the boundary reference to instrument 199805130116673.</x:v>
      </x:c>
      <x:c r="S113" s="303" t="str">
        <x:v>https://franklin.oh.publicsearch.us/doc/121887350?department=RP</x:v>
      </x:c>
      <x:c r="T113" s="309" t="str">
        <x:v>3</x:v>
      </x:c>
      <x:c r="U113" s="303" t="str">
        <x:v>OCR completed for every page.</x:v>
      </x:c>
      <x:c r="V113" s="303" t="str">
        <x:v>1-2</x:v>
      </x:c>
      <x:c r="W113" s="303" t="str">
        <x:v>OCR-discovered exact-name hit; primary recorder images; all pages OCRed; face/signature and decisive boundary page visually inspected. Index parties are Whitebarn and New Albany, not HHD.</x:v>
      </x:c>
      <x:c r="X113" s="303" t="str">
        <x:v>/private/tmp/osint-7Vd0k25d/franklin-reviewed-pages/hhd-adjacent-whitebarn-back-2013</x:v>
      </x:c>
      <x:c r="Y113" s="303" t="str">
        <x:v>/private/tmp/osint-7Vd0k25d/franklin-reviewed-pages/hhd-adjacent-whitebarn-back-2013/ocr</x:v>
      </x:c>
    </x:row>
    <x:row r="114" ht="66" customHeight="1">
      <x:c r="A114" s="304" t="str">
        <x:v>H.H.D.&amp;B.</x:v>
      </x:c>
      <x:c r="B114" s="316" t="str">
        <x:v>202309150096034</x:v>
      </x:c>
      <x:c r="C114" s="316" t="str">
        <x:v>172437433</x:v>
      </x:c>
      <x:c r="D114" s="313" t="n">
        <x:v>45184.5</x:v>
      </x:c>
      <x:c r="E114" s="313" t="n">
        <x:v>45163.5</x:v>
      </x:c>
      <x:c r="F114" s="304" t="str">
        <x:v>Limited Warranty Deed</x:v>
      </x:c>
      <x:c r="G114" s="304" t="str">
        <x:v>The New Albany Company LLC, a Delaware limited liability company</x:v>
      </x:c>
      <x:c r="H114" s="304" t="str">
        <x:v>Whitebarn Organics, LLC, an Ohio limited liability company</x:v>
      </x:c>
      <x:c r="I114" s="304" t="str">
        <x:v>Direct adjacent-land conveyance; no successor or merger recital for HHD.</x:v>
      </x:c>
      <x:c r="J114" s="304" t="str">
        <x:v>Good and valuable consideration paid; amount not stated. Auditor transfer stamp says conveyance tax exempt.</x:v>
      </x:c>
      <x:c r="K114" s="304" t="str">
        <x:v>Brent B. Bradbury — Treasurer, The New Albany Company LLC</x:v>
      </x:c>
      <x:c r="L114" s="304" t="str">
        <x:v>Marjorie Ball</x:v>
      </x:c>
      <x:c r="M114" s="304" t="str">
        <x:v>The New Albany Company LLC, 8000 Walton Parkway, Suite 120, New Albany, Ohio 43054</x:v>
      </x:c>
      <x:c r="N114" s="304" t="str">
        <x:v>Grantee tax mailing: 8000 Walton Parkway, Suite 100, New Albany, Ohio 43054; recorder return envelope to Stewart Title Agency of Columbus</x:v>
      </x:c>
      <x:c r="O114" s="304" t="str">
        <x:v>Three adjacent tracts: 60.006 acres, 26.637 acres, and 4.998 acres. The first tract uses HHD's 30.368-acre tract only as a boundary.</x:v>
      </x:c>
      <x:c r="P114" s="304" t="str">
        <x:v>222-004502-00; 222-000903-00; 222-000368-00</x:v>
      </x:c>
      <x:c r="Q114" s="316" t="str">
        <x:v>Prior instruments 201002100016538, 201312310212561, and 201010010128914.</x:v>
      </x:c>
      <x:c r="R114" s="304" t="str">
        <x:v>H.H.D.&amp;B., LLC is not a party and parcel 222-001350 is not conveyed. The exact OCR hit is solely a boundary citation to HHD deed 199805130116673.</x:v>
      </x:c>
      <x:c r="S114" s="304" t="str">
        <x:v>https://franklin.oh.publicsearch.us/doc/172437433?department=RP</x:v>
      </x:c>
      <x:c r="T114" s="310" t="str">
        <x:v>8</x:v>
      </x:c>
      <x:c r="U114" s="304" t="str">
        <x:v>OCR completed for every page.</x:v>
      </x:c>
      <x:c r="V114" s="304" t="str">
        <x:v>2-4</x:v>
      </x:c>
      <x:c r="W114" s="304" t="str">
        <x:v>OCR-discovered exact-name hit; primary recorder images; all eight stored pages OCRed; operative, signature, and decisive boundary pages visually inspected. Recorder cover says seven document pages, while the stored instrument includes the official cover for eight images.</x:v>
      </x:c>
      <x:c r="X114" s="304" t="str">
        <x:v>/private/tmp/osint-7Vd0k25d/franklin-reviewed-pages/hhd-adjacent-whitebarn-out-2023</x:v>
      </x:c>
      <x:c r="Y114" s="304" t="str">
        <x:v>/private/tmp/osint-7Vd0k25d/franklin-reviewed-pages/hhd-adjacent-whitebarn-out-2023/ocr</x:v>
      </x:c>
    </x:row>
  </x:sheetData>
  <x:mergeCells>
    <x:mergeCell ref="A1:Y1"/>
    <x:mergeCell ref="A2:Y2"/>
  </x:mergeCells>
  <x:conditionalFormatting sqref="W5:W114">
    <x:cfRule type="containsText" dxfId="3" priority="1" operator="containsText" text="metadata only"/>
  </x:conditionalFormatting>
  <x:pageMargins left="0.7" right="0.7" top="0.75" bottom="0.75" header="0.3" footer="0.3"/>
  <x:tableParts count="1">
    <x:tablePart xmlns:r="http://schemas.openxmlformats.org/officeDocument/2006/relationships" r:id="R56b702aaaf284e9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28" hidden="0" customWidth="1"/>
    <x:col min="4" max="4" width="20" hidden="0" customWidth="1"/>
    <x:col min="5" max="5" width="20" hidden="0" customWidth="1"/>
    <x:col min="6" max="6" width="28" hidden="0" customWidth="1"/>
    <x:col min="7" max="7" width="28" hidden="0" customWidth="1"/>
    <x:col min="8" max="8" width="20" hidden="0" customWidth="1"/>
    <x:col min="9" max="9" width="28" hidden="0" customWidth="1"/>
    <x:col min="10" max="10" width="28" hidden="0" customWidth="1"/>
    <x:col min="11" max="11" width="14" hidden="0" customWidth="1"/>
    <x:col min="12" max="12" width="28" hidden="0" customWidth="1"/>
    <x:col min="13" max="13" width="28" hidden="0" customWidth="1"/>
    <x:col min="14" max="14" width="20" hidden="0" customWidth="1"/>
    <x:col min="15" max="15" width="34" hidden="0" customWidth="1"/>
    <x:col min="16" max="16" width="44" hidden="0" customWidth="1"/>
  </x:cols>
  <x:sheetData>
    <x:row r="1" ht="30" customHeight="1">
      <x:c r="A1" s="3" t="str">
        <x:v>Ohio corporate and property-vehicle index</x:v>
      </x:c>
      <x:c r="B1" s="3"/>
      <x:c r="C1" s="3"/>
      <x:c r="D1" s="3"/>
      <x:c r="E1" s="3"/>
      <x:c r="F1" s="3"/>
      <x:c r="G1" s="3"/>
      <x:c r="H1" s="3"/>
      <x:c r="I1" s="3"/>
      <x:c r="J1" s="3"/>
      <x:c r="K1" s="3"/>
      <x:c r="L1" s="3"/>
      <x:c r="M1" s="3"/>
      <x:c r="N1" s="3"/>
      <x:c r="O1" s="3"/>
      <x:c r="P1" s="3"/>
    </x:row>
    <x:row r="2" ht="36" customHeight="1">
      <x:c r="A2" s="12" t="str">
        <x:v>One row per entity or vehicle. Historical roles are preserved separately from current status; shared agent, counsel, or address is never treated as control by itself.</x:v>
      </x:c>
      <x:c r="B2" s="13"/>
      <x:c r="C2" s="13"/>
      <x:c r="D2" s="13"/>
      <x:c r="E2" s="13"/>
      <x:c r="F2" s="13"/>
      <x:c r="G2" s="13"/>
      <x:c r="H2" s="13"/>
      <x:c r="I2" s="13"/>
      <x:c r="J2" s="13"/>
      <x:c r="K2" s="13"/>
      <x:c r="L2" s="13"/>
      <x:c r="M2" s="13"/>
      <x:c r="N2" s="13"/>
      <x:c r="O2" s="13"/>
      <x:c r="P2" s="14"/>
    </x:row>
    <x:row r="4" ht="32" customHeight="1">
      <x:c r="A4" s="292" t="str">
        <x:v>entity_name</x:v>
      </x:c>
      <x:c r="B4" s="293" t="str">
        <x:v>aliases</x:v>
      </x:c>
      <x:c r="C4" s="293" t="str">
        <x:v>entity_class</x:v>
      </x:c>
      <x:c r="D4" s="293" t="str">
        <x:v>formation_jurisdiction</x:v>
      </x:c>
      <x:c r="E4" s="293" t="str">
        <x:v>ohio_entity_number</x:v>
      </x:c>
      <x:c r="F4" s="293" t="str">
        <x:v>status</x:v>
      </x:c>
      <x:c r="G4" s="293" t="str">
        <x:v>ohio_or_property_address</x:v>
      </x:c>
      <x:c r="H4" s="293" t="str">
        <x:v>parcel_or_property</x:v>
      </x:c>
      <x:c r="I4" s="293" t="str">
        <x:v>epstein_role_or_nexus</x:v>
      </x:c>
      <x:c r="J4" s="293" t="str">
        <x:v>wexner_role_or_nexus</x:v>
      </x:c>
      <x:c r="K4" s="293" t="str">
        <x:v>date_range</x:v>
      </x:c>
      <x:c r="L4" s="293" t="str">
        <x:v>verification_status</x:v>
      </x:c>
      <x:c r="M4" s="293" t="str">
        <x:v>removal_or_exit_status</x:v>
      </x:c>
      <x:c r="N4" s="293" t="str">
        <x:v>priority</x:v>
      </x:c>
      <x:c r="O4" s="293" t="str">
        <x:v>key_evidence_refs</x:v>
      </x:c>
      <x:c r="P4" s="294" t="str">
        <x:v>notes</x:v>
      </x:c>
    </x:row>
    <x:row r="5" ht="64" customHeight="1">
      <x:c r="A5" s="302" t="str">
        <x:v>N.A. Property, Inc.</x:v>
      </x:c>
      <x:c r="B5" s="302" t="str">
        <x:v>N A Property Inc.; New Albany Property Inc.; New Albany Property, Inc.</x:v>
      </x:c>
      <x:c r="C5" s="302" t="str">
        <x:v>foreign corporation / development managing member</x:v>
      </x:c>
      <x:c r="D5" s="302" t="str">
        <x:v>Delaware</x:v>
      </x:c>
      <x:c r="E5" s="302" t="str">
        <x:v>832364</x:v>
      </x:c>
      <x:c r="F5" s="302" t="str">
        <x:v>active</x:v>
      </x:c>
      <x:c r="G5" s="302" t="str">
        <x:v>5906 E Dublin-Granville Rd; 6525 W Campus Oval; 8000 Walton Pkwy; c/o Wexner Investment Co., 41 S High St</x:v>
      </x:c>
      <x:c r="H5" s="302" t="str">
        <x:v>Managing/general-partner role in New Albany partnership filings; 2002 School House notice of commencement, but its fee-owner field is blank</x:v>
      </x:c>
      <x:c r="I5" s="302" t="str">
        <x:v>President on five Ohio annual reports; signed the 1992 partnership filings as president of the New Albany managing/general partner</x:v>
      </x:c>
      <x:c r="J5" s="302" t="str">
        <x:v>Wexner Investment Co. correspondence address; entity was part of New Albany Company structure</x:v>
      </x:c>
      <x:c r="K5" s="302" t="str">
        <x:v>1992-present; Epstein role verified 1992-1998</x:v>
      </x:c>
      <x:c r="L5" s="302" t="str">
        <x:v>primary Ohio filing and recorder images confirmed</x:v>
      </x:c>
      <x:c r="M5" s="302" t="str">
        <x:v>A 2020 commissioned review says Epstein resigned in September 2007; underlying primary resignation record not located</x:v>
      </x:c>
      <x:c r="N5" s="302" t="str">
        <x:v>confirmed</x:v>
      </x:c>
      <x:c r="O5" s="302" t="str">
        <x:v>H482_0333;9309_1879;4270_1598;5374_0707;5907_0703;199927801808;199826701876;FRANKLIN-RECORDER:199212020237724;FRANKLIN-RECORDER:199212280252097;FRANKLIN-RECORDER:200203120064378;FINDING:14621;FINDING:14622;FINDING:14623</x:v>
      </x:c>
      <x:c r="P5" s="302" t="str">
        <x:v>The 2002 form's “None” lender response concerns only improvement financing and does not establish title, mortgage absence, or cash ownership.</x:v>
      </x:c>
    </x:row>
    <x:row r="6" ht="64" customHeight="1">
      <x:c r="A6" s="303" t="str">
        <x:v>The New Albany Investment Company</x:v>
      </x:c>
      <x:c r="B6" s="303" t="str">
        <x:v>New Albany Investment Company</x:v>
      </x:c>
      <x:c r="C6" s="303" t="str">
        <x:v>Ohio trade name</x:v>
      </x:c>
      <x:c r="D6" s="303" t="str">
        <x:v>Ohio</x:v>
      </x:c>
      <x:c r="E6" s="303" t="str">
        <x:v>linked to 832364</x:v>
      </x:c>
      <x:c r="F6" s="303" t="str">
        <x:v>active renewals through 2025</x:v>
      </x:c>
      <x:c r="G6" s="303" t="str">
        <x:v>5906 E Dublin-Granville Rd, New Albany, OH</x:v>
      </x:c>
      <x:c r="H6" s="303" t="str">
        <x:v>Trade name described as an investment holding company</x:v>
      </x:c>
      <x:c r="I6" s="303" t="str">
        <x:v>N.A. Property, Inc., then headed by Epstein, registered the trade name</x:v>
      </x:c>
      <x:c r="J6" s="303" t="str">
        <x:v>Part of the New Albany/Wexner development structure</x:v>
      </x:c>
      <x:c r="K6" s="303" t="str">
        <x:v>1995-present</x:v>
      </x:c>
      <x:c r="L6" s="303" t="str">
        <x:v>primary Ohio filing image confirmed</x:v>
      </x:c>
      <x:c r="M6" s="303" t="str">
        <x:v>Not applicable; trade name remains renewed</x:v>
      </x:c>
      <x:c r="N6" s="303" t="str">
        <x:v>confirmed</x:v>
      </x:c>
      <x:c r="O6" s="303" t="str">
        <x:v>5119_0009; 201510302102; 202010700834; 202509900834</x:v>
      </x:c>
      <x:c r="P6" s="303" t="str">
        <x:v>Treat as a trade name of N.A. Property, not a separate corporation without further evidence.</x:v>
      </x:c>
    </x:row>
    <x:row r="7" ht="64" customHeight="1">
      <x:c r="A7" s="303" t="str">
        <x:v>The New Albany Company LLC</x:v>
      </x:c>
      <x:c r="B7" s="303" t="str">
        <x:v>The New Albany Company; The New Albany Company Limited Partnership</x:v>
      </x:c>
      <x:c r="C7" s="303" t="str">
        <x:v>foreign LLC / master-development vehicle</x:v>
      </x:c>
      <x:c r="D7" s="303" t="str">
        <x:v>Delaware</x:v>
      </x:c>
      <x:c r="E7" s="303" t="str">
        <x:v>1034132</x:v>
      </x:c>
      <x:c r="F7" s="303" t="str">
        <x:v>active</x:v>
      </x:c>
      <x:c r="G7" s="303" t="str">
        <x:v>5906 E Dublin-Granville Rd; later 8000 Walton Pkwy, New Albany, OH</x:v>
      </x:c>
      <x:c r="H7" s="303" t="str">
        <x:v>Managed/excluded property portfolio; land and development projects</x:v>
      </x:c>
      <x:c r="I7" s="303" t="str">
        <x:v>Epstein signed as president of N.A. Property, Inc., the managing member and predecessor general partner</x:v>
      </x:c>
      <x:c r="J7" s="303" t="str">
        <x:v>Leslie Wexner signed as managing member; Community Projects, Inc. was the other predecessor general partner</x:v>
      </x:c>
      <x:c r="K7" s="303" t="str">
        <x:v>1998-present</x:v>
      </x:c>
      <x:c r="L7" s="303" t="str">
        <x:v>primary Ohio filing images and corpus records confirmed</x:v>
      </x:c>
      <x:c r="M7" s="303" t="str">
        <x:v>No reviewed filing removes Epstein or replaces the managing-member structure; later rows are agent/address changes</x:v>
      </x:c>
      <x:c r="N7" s="303" t="str">
        <x:v>confirmed</x:v>
      </x:c>
      <x:c r="O7" s="303" t="str">
        <x:v>199826701876; 199828200362; DOJ-OGR-00032938; DOJ-OGR-00032937</x:v>
      </x:c>
      <x:c r="P7" s="303" t="str">
        <x:v>The 2005 portfolio schedule reported $98.5 million estimated value remaining but does not identify every project by full legal name.</x:v>
      </x:c>
    </x:row>
    <x:row r="8" ht="64" customHeight="1">
      <x:c r="A8" s="303" t="str">
        <x:v>The New Albany Company Limited Partnership</x:v>
      </x:c>
      <x:c r="B8" s="303" t="str">
        <x:v>New Albany Co Ltd Partnership</x:v>
      </x:c>
      <x:c r="C8" s="303" t="str">
        <x:v>limited partnership / predecessor development vehicle</x:v>
      </x:c>
      <x:c r="D8" s="303" t="str">
        <x:v>unknown / Ohio registration</x:v>
      </x:c>
      <x:c r="E8" s="303" t="str">
        <x:v>958102</x:v>
      </x:c>
      <x:c r="F8" s="303" t="str">
        <x:v>merged out</x:v>
      </x:c>
      <x:c r="G8" s="303" t="str">
        <x:v>New Albany, OH</x:v>
      </x:c>
      <x:c r="H8" s="303" t="str">
        <x:v>Large-acreage development and partnership instruments</x:v>
      </x:c>
      <x:c r="I8" s="303" t="str">
        <x:v>N.A. Property, Inc., signed by Epstein as president, was one general partner</x:v>
      </x:c>
      <x:c r="J8" s="303" t="str">
        <x:v>Community Projects, Inc., signed by Wexner as president, was the other general partner</x:v>
      </x:c>
      <x:c r="K8" s="303" t="str">
        <x:v>1992-1998</x:v>
      </x:c>
      <x:c r="L8" s="303" t="str">
        <x:v>primary Ohio filing and recorder indexes confirmed</x:v>
      </x:c>
      <x:c r="M8" s="303" t="str">
        <x:v>Merged into The New Albany Company LLC on 1998-10-07</x:v>
      </x:c>
      <x:c r="N8" s="303" t="str">
        <x:v>confirmed</x:v>
      </x:c>
      <x:c r="O8" s="303" t="str">
        <x:v>199212020237724; 199212280252097; 199826701876; 199828200362</x:v>
      </x:c>
      <x:c r="P8" s="303" t="str">
        <x:v>Useful counterparty for Morsham and other acreage-assembly searches.</x:v>
      </x:c>
    </x:row>
    <x:row r="9" ht="64" customHeight="1">
      <x:c r="A9" s="303" t="str">
        <x:v>Community Projects, Inc.</x:v>
      </x:c>
      <x:c r="B9" s="303" t="str">
        <x:v>Community Projects Inc.</x:v>
      </x:c>
      <x:c r="C9" s="303" t="str">
        <x:v>Ohio corporation / development general partner</x:v>
      </x:c>
      <x:c r="D9" s="303" t="str">
        <x:v>Ohio</x:v>
      </x:c>
      <x:c r="E9" s="303" t="str">
        <x:v>801367</x:v>
      </x:c>
      <x:c r="F9" s="303" t="str">
        <x:v>dead / dissolved</x:v>
      </x:c>
      <x:c r="G9" s="303" t="str">
        <x:v>One Whitebarn Rd.; 5906 E Dublin-Granville Rd., New Albany, OH</x:v>
      </x:c>
      <x:c r="H9" s="303" t="str">
        <x:v>Partnership release; no residential parcel verified</x:v>
      </x:c>
      <x:c r="I9" s="303" t="str">
        <x:v>No officer role in the exact charter; appears beside Epstein-led N.A. Property as the other New Albany LP general partner</x:v>
      </x:c>
      <x:c r="J9" s="303" t="str">
        <x:v>Wexner was president/director and signed for Community Projects as general partner</x:v>
      </x:c>
      <x:c r="K9" s="303" t="str">
        <x:v>1991-1998</x:v>
      </x:c>
      <x:c r="L9" s="303" t="str">
        <x:v>exact-charter primary images confirmed; contextual identity is high-confidence synthesis</x:v>
      </x:c>
      <x:c r="M9" s="303" t="str">
        <x:v>Dissolved 1998-11-12; the LP, not Community Projects, merged into the LLC</x:v>
      </x:c>
      <x:c r="N9" s="303" t="str">
        <x:v>confirmed network link / no Epstein officer role</x:v>
      </x:c>
      <x:c r="O9" s="303" t="str">
        <x:v>H177_0680; 199831701001; 199826701876; 199828200362; FRANKLIN-RECORDER:199809170236365; FINDING:14568; FINDING:14569</x:v>
      </x:c>
      <x:c r="P9" s="303" t="str">
        <x:v>The contextual partnership filing omits charter 801367 but matches exact name, Ohio jurisdiction, officer, dates, and addresses. Do not infer property title from the partnership record or no-personal-property affidavit.</x:v>
      </x:c>
    </x:row>
    <x:row r="10" ht="64" customHeight="1">
      <x:c r="A10" s="303" t="str">
        <x:v>Parkview Financial, Inc.</x:v>
      </x:c>
      <x:c r="B10" s="303" t="str">
        <x:v>LEWEX, INC.; Parkview Financial Inc.; Parkview Fincl Inc.</x:v>
      </x:c>
      <x:c r="C10" s="303" t="str">
        <x:v>Ohio for-profit corporation</x:v>
      </x:c>
      <x:c r="D10" s="303" t="str">
        <x:v>Ohio</x:v>
      </x:c>
      <x:c r="E10" s="303" t="str">
        <x:v>623762</x:v>
      </x:c>
      <x:c r="F10" s="303" t="str">
        <x:v>dead / dissolved</x:v>
      </x:c>
      <x:c r="G10" s="303" t="str">
        <x:v>41 S High St, Columbus, OH; original agent at 250 E Broad St</x:v>
      </x:c>
      <x:c r="H10" s="303" t="str">
        <x:v>A 1984 Franklin deed's prior-mortgage field names PARKVIEW FINANCIAL and $20,622.43; no Ohio home parcel or identity match to charter 623762 is proven</x:v>
      </x:c>
      <x:c r="I10" s="303" t="str">
        <x:v>Vice president and treasurer; signed the 1990 dissolution and affidavits</x:v>
      </x:c>
      <x:c r="J10" s="303" t="str">
        <x:v>Wexner was director and president</x:v>
      </x:c>
      <x:c r="K10" s="303" t="str">
        <x:v>1983-1990</x:v>
      </x:c>
      <x:c r="L10" s="303" t="str">
        <x:v>primary Ohio filing images confirmed; recorder mention is a scoped identity lead</x:v>
      </x:c>
      <x:c r="M10" s="303" t="str">
        <x:v>Corporation dissolved 1990-12-26</x:v>
      </x:c>
      <x:c r="N10" s="303" t="str">
        <x:v>confirmed corporate role / recorder identity unresolved</x:v>
      </x:c>
      <x:c r="O10" s="303" t="str">
        <x:v>F356_1315;F370_1761;F778_1849;H042_1308;FRANKLIN-RECORDER:198402080019674;FINDING:14628</x:v>
      </x:c>
      <x:c r="P10" s="303" t="str">
        <x:v>The former name LEWEX is the key historical-name pivot. The deed phrase alone does not prove that the mortgagee was Ohio charter 623762.</x:v>
      </x:c>
    </x:row>
    <x:row r="11" ht="64" customHeight="1">
      <x:c r="A11" s="303" t="str">
        <x:v>HHD &amp; B LLC</x:v>
      </x:c>
      <x:c r="B11" s="303" t="str">
        <x:v>H.H.D.&amp;B., LLC; HHD&amp;B LLC; HHD AND B LLC; HHDB LLC</x:v>
      </x:c>
      <x:c r="C11" s="303" t="str">
        <x:v>single-property residential holding LLC candidate</x:v>
      </x:c>
      <x:c r="D11" s="303" t="str">
        <x:v>Ohio stated in deed</x:v>
      </x:c>
      <x:c r="E11" s="303"/>
      <x:c r="F11" s="303" t="str">
        <x:v>current auditor owner</x:v>
      </x:c>
      <x:c r="G11" s="303" t="str">
        <x:v>5025 Dublin Granville Rd, New Albany, OH</x:v>
      </x:c>
      <x:c r="H11" s="303" t="str">
        <x:v>Franklin parcel 222-001350-00; 30.368 acres; Rotunda House; later instruments cite it as a neighboring boundary</x:v>
      </x:c>
      <x:c r="I11" s="303" t="str">
        <x:v>Epstein acquired the tract in 1992 and conveyed it to H.H.D.&amp;B. in 1998; the deed does not identify LLC members</x:v>
      </x:c>
      <x:c r="J11" s="303" t="str">
        <x:v>Property sits in the New Albany development area; no beneficial Wexner role proven</x:v>
      </x:c>
      <x:c r="K11" s="303" t="str">
        <x:v>1992-present; LLC grantee from 1998</x:v>
      </x:c>
      <x:c r="L11" s="303" t="str">
        <x:v>primary Franklin Recorder images plus current Auditor parcel confirmed</x:v>
      </x:c>
      <x:c r="M11" s="303" t="str">
        <x:v>No reviewed record identifies the LLC's members or proves Epstein's control after conveyance; full parcel-lien sweep remains pending</x:v>
      </x:c>
      <x:c r="N11" s="303" t="str">
        <x:v>confirmed single-property title chain</x:v>
      </x:c>
      <x:c r="O11" s="303" t="str">
        <x:v>FRANKLIN-RECORDER:199211180228288;FRANKLIN-RECORDER:199805130116673;FRANKLIN-RECORDER:200112270301721;FRANKLIN-AUDITOR:222-001350-00;FINDING:14552;FINDING:14553;FINDING:14632</x:v>
      </x:c>
      <x:c r="P11" s="303" t="str">
        <x:v>Deed faces show $3,500 and $8,000 conveyance-tax stamps, not sale prices; separate Auditor sales fields report $3.5 million and $8 million. No reviewed exact-name-family mortgage encumbers 222-001350, but that is not a complete parcel-lien negative.</x:v>
      </x:c>
    </x:row>
    <x:row r="12" ht="64" customHeight="1">
      <x:c r="A12" s="303" t="str">
        <x:v>Morsham Land Corp.</x:v>
      </x:c>
      <x:c r="B12" s="303" t="str">
        <x:v>Morsham Land Corporation</x:v>
      </x:c>
      <x:c r="C12" s="303" t="str">
        <x:v>Ohio corporation / large-acreage land-assembly vehicle</x:v>
      </x:c>
      <x:c r="D12" s="303" t="str">
        <x:v>Ohio</x:v>
      </x:c>
      <x:c r="E12" s="303" t="str">
        <x:v>712296</x:v>
      </x:c>
      <x:c r="F12" s="303" t="str">
        <x:v>dead / merged out</x:v>
      </x:c>
      <x:c r="G12" s="303" t="str">
        <x:v>41 S High St., Columbus; later c/o New Albany Company, 5906 E Dublin-Granville Rd., New Albany</x:v>
      </x:c>
      <x:c r="H12" s="303" t="str">
        <x:v>1987-2016 deed/easement family; 50.086-acre acquisition; 35.686-acre and other dispositions; residual parcel 545-147940</x:v>
      </x:c>
      <x:c r="I12" s="303" t="str">
        <x:v>No direct Epstein or Wexner appearance in the reviewed Morsham recorder family</x:v>
      </x:c>
      <x:c r="J12" s="303" t="str">
        <x:v>Direct title counterparties include The New Albany Company Limited Partnership; later New Albany Company LLC affidavit claims ultimate succession to all Morsham real estate/assets</x:v>
      </x:c>
      <x:c r="K12" s="303" t="str">
        <x:v>1987-2016</x:v>
      </x:c>
      <x:c r="L12" s="303" t="str">
        <x:v>complete targeted Franklin family OCRed and decisive primary images reviewed</x:v>
      </x:c>
      <x:c r="M12" s="303" t="str">
        <x:v>Merged into Eastern Ohio Holding Company, Inc. on 1995-12-29; later ultimate title/asset succession to New Albany Company LLC is separately asserted in a 2016 affidavit</x:v>
      </x:c>
      <x:c r="N12" s="303" t="str">
        <x:v>confirmed statutory merger plus title-successor chain</x:v>
      </x:c>
      <x:c r="O12" s="303" t="str">
        <x:v>G290_1448;5422_1190;5422_1216;FRANKLIN-RECORDER:198801060052123;FRANKLIN-RECORDER:199611150229244;FRANKLIN-RECORDER:199702180037606;FRANKLIN-RECORDER:199702180037607;FRANKLIN-RECORDER:201604220049451;FRANKLIN-RECORDER:201604220049452;FINDING:14610;FINDING:14641;FINDING:14642;FINDING:14643;FINDING:14646</x:v>
      </x:c>
      <x:c r="P12" s="303" t="str">
        <x:v>Ohio packet 5422_1190 expressly names Eastern Ohio Holding Company as statutory survivor. Recorder recitals and the 2016 affidavit support later land-title/asset succession but do not collapse the intermediate corporate chain.</x:v>
      </x:c>
    </x:row>
    <x:row r="13" ht="64" customHeight="1">
      <x:c r="A13" s="303" t="str">
        <x:v>Eastern Ohio Holding Company, Inc.</x:v>
      </x:c>
      <x:c r="B13" s="303" t="str">
        <x:v>Eastern Ohio Holding Company; Ohio 855092</x:v>
      </x:c>
      <x:c r="C13" s="303" t="str">
        <x:v>Ohio corporation / statutory merger survivor</x:v>
      </x:c>
      <x:c r="D13" s="303" t="str">
        <x:v>Ohio</x:v>
      </x:c>
      <x:c r="E13" s="303" t="str">
        <x:v>855092</x:v>
      </x:c>
      <x:c r="F13" s="303" t="str">
        <x:v>post-1995 history unresolved</x:v>
      </x:c>
      <x:c r="G13" s="303" t="str">
        <x:v>5906 E Dublin-Granville Rd., New Albany, OH 43054</x:v>
      </x:c>
      <x:c r="H13" s="303" t="str">
        <x:v>Received eight predecessor corporations by merger; later conveyed identified Morsham-derived tracts to The New Albany Company Limited Partnership</x:v>
      </x:c>
      <x:c r="I13" s="303" t="str">
        <x:v>No Epstein or Wexner appearance in the reviewed merger packet or Morsham recorder family</x:v>
      </x:c>
      <x:c r="J13" s="303" t="str">
        <x:v>New Albany Company received processing correspondence but was not a statutory constituent or survivor</x:v>
      </x:c>
      <x:c r="K13" s="303" t="str">
        <x:v>1995-later history unresolved</x:v>
      </x:c>
      <x:c r="L13" s="303" t="str">
        <x:v>primary Ohio merger packet and Franklin deed images confirmed</x:v>
      </x:c>
      <x:c r="M13" s="303" t="str">
        <x:v>Survived nine-party merger effective 1995-12-29; later corporate terminal action or bridge to New Albany LLC not yet located</x:v>
      </x:c>
      <x:c r="N13" s="303" t="str">
        <x:v>confirmed statutory survivor / later-history pivot</x:v>
      </x:c>
      <x:c r="O13" s="303" t="str">
        <x:v>5422_1190;FRANKLIN-RECORDER:199611150229244;FRANKLIN-RECORDER:199702180037606;FRANKLIN-RECORDER:199702180037607;FINDING:14642;FINDING:14646</x:v>
      </x:c>
      <x:c r="P13" s="303" t="str">
        <x:v>The merger form's name-change field is blank: Morsham did not simply rename itself Eastern Ohio. Specific land conveyances and New Albany LLC's later ultimate-successor assertion are separate from Eastern Ohio's corporate genealogy.</x:v>
      </x:c>
    </x:row>
    <x:row r="14" ht="64" customHeight="1">
      <x:c r="A14" s="303" t="str">
        <x:v>ASW Holdings, Inc.</x:v>
      </x:c>
      <x:c r="B14" s="303" t="str">
        <x:v>ASW Holdings Inc.; ASW Holdings</x:v>
      </x:c>
      <x:c r="C14" s="303" t="str">
        <x:v>Delaware corporation / investment holding company</x:v>
      </x:c>
      <x:c r="D14" s="303" t="str">
        <x:v>Delaware</x:v>
      </x:c>
      <x:c r="E14" s="303"/>
      <x:c r="F14" s="303" t="str">
        <x:v>unresolved; exact Ohio name search returned zero</x:v>
      </x:c>
      <x:c r="G14" s="303" t="str">
        <x:v>6525 W Campus Oval, Suite 105, New Albany, OH</x:v>
      </x:c>
      <x:c r="H14" s="303" t="str">
        <x:v>No property title verified</x:v>
      </x:c>
      <x:c r="I14" s="303" t="str">
        <x:v>President, director, and executive officer</x:v>
      </x:c>
      <x:c r="J14" s="303" t="str">
        <x:v>Abigail Wexner was a director/executive officer; ASW Investments owned the company</x:v>
      </x:c>
      <x:c r="K14" s="303" t="str">
        <x:v>1999-2000</x:v>
      </x:c>
      <x:c r="L14" s="303" t="str">
        <x:v>SEC primary filing confirmed; bounded exact Ohio registry zero</x:v>
      </x:c>
      <x:c r="M14" s="303" t="str">
        <x:v>Unresolved</x:v>
      </x:c>
      <x:c r="N14" s="303" t="str">
        <x:v>confirmed non-Ohio corporation / registry follow-up</x:v>
      </x:c>
      <x:c r="O14" s="303" t="str">
        <x:v>SEC:901359:000090951800000392; EFTA01262780</x:v>
      </x:c>
      <x:c r="P14" s="303" t="str">
        <x:v>Do not merge with later ASW Holdings LLC namesakes.</x:v>
      </x:c>
    </x:row>
    <x:row r="15" ht="64" customHeight="1">
      <x:c r="A15" s="303" t="str">
        <x:v>ASW Investments</x:v>
      </x:c>
      <x:c r="B15" s="303" t="str">
        <x:v>ASW Investments Trust</x:v>
      </x:c>
      <x:c r="C15" s="303" t="str">
        <x:v>Ohio trust / parent holding vehicle</x:v>
      </x:c>
      <x:c r="D15" s="303" t="str">
        <x:v>Ohio</x:v>
      </x:c>
      <x:c r="E15" s="303"/>
      <x:c r="F15" s="303" t="str">
        <x:v>unresolved</x:v>
      </x:c>
      <x:c r="G15" s="303" t="str">
        <x:v>6525 W Campus Oval, Suite 105, New Albany, OH</x:v>
      </x:c>
      <x:c r="H15" s="303" t="str">
        <x:v>No property title verified</x:v>
      </x:c>
      <x:c r="I15" s="303" t="str">
        <x:v>Indirect nexus through wholly owned ASW Holdings, where Epstein was president/director</x:v>
      </x:c>
      <x:c r="J15" s="303" t="str">
        <x:v>Abigail Wexner was sole trustee; trust owned ASW Holdings</x:v>
      </x:c>
      <x:c r="K15" s="303" t="str">
        <x:v>2000</x:v>
      </x:c>
      <x:c r="L15" s="303" t="str">
        <x:v>SEC primary filing confirmed</x:v>
      </x:c>
      <x:c r="M15" s="303" t="str">
        <x:v>Unresolved</x:v>
      </x:c>
      <x:c r="N15" s="303" t="str">
        <x:v>high-priority trust/UCC search</x:v>
      </x:c>
      <x:c r="O15" s="303" t="str">
        <x:v>SEC:901359:000090951800000392</x:v>
      </x:c>
      <x:c r="P15" s="303" t="str">
        <x:v>Ordinary corporation search may not surface this trust.</x:v>
      </x:c>
    </x:row>
    <x:row r="16" ht="64" customHeight="1">
      <x:c r="A16" s="303" t="str">
        <x:v>R.A. Property, Inc.</x:v>
      </x:c>
      <x:c r="B16" s="303" t="str">
        <x:v>RA Property Inc.; R A Property Inc.; R.A. Properties Inc.</x:v>
      </x:c>
      <x:c r="C16" s="303" t="str">
        <x:v>property or management company candidate</x:v>
      </x:c>
      <x:c r="D16" s="303" t="str">
        <x:v>unknown</x:v>
      </x:c>
      <x:c r="E16" s="303"/>
      <x:c r="F16" s="303" t="str">
        <x:v>unresolved</x:v>
      </x:c>
      <x:c r="G16" s="303" t="str">
        <x:v>423 W Campus Dr, Suite 180, New Albany, OH</x:v>
      </x:c>
      <x:c r="H16" s="303" t="str">
        <x:v>No parcel or deed verified</x:v>
      </x:c>
      <x:c r="I16" s="303" t="str">
        <x:v>Indirect: NES, LLC paid the company $7,173.96 in November 2004; Epstein not named on the page</x:v>
      </x:c>
      <x:c r="J16" s="303" t="str">
        <x:v>New Albany operational nexus only</x:v>
      </x:c>
      <x:c r="K16" s="303" t="str">
        <x:v>2004</x:v>
      </x:c>
      <x:c r="L16" s="303" t="str">
        <x:v>direct corpus financial record confirmed; registry and title unverified</x:v>
      </x:c>
      <x:c r="M16" s="303" t="str">
        <x:v>Unresolved</x:v>
      </x:c>
      <x:c r="N16" s="303" t="str">
        <x:v>high-priority candidate</x:v>
      </x:c>
      <x:c r="O16" s="303" t="str">
        <x:v>EFTA01497064</x:v>
      </x:c>
      <x:c r="P16" s="303" t="str">
        <x:v>The monthly payment suggests management, rent, or another recurring service but does not prove property ownership.</x:v>
      </x:c>
    </x:row>
    <x:row r="17" ht="64" customHeight="1">
      <x:c r="A17" s="303" t="str">
        <x:v>New Albany Realty</x:v>
      </x:c>
      <x:c r="B17" s="303" t="str">
        <x:v>New Albany Realty LLC?</x:v>
      </x:c>
      <x:c r="C17" s="303" t="str">
        <x:v>subsidiary or operating-unit candidate</x:v>
      </x:c>
      <x:c r="D17" s="303" t="str">
        <x:v>unknown</x:v>
      </x:c>
      <x:c r="E17" s="303"/>
      <x:c r="F17" s="303" t="str">
        <x:v>unresolved</x:v>
      </x:c>
      <x:c r="G17" s="303" t="str">
        <x:v>New Albany property-operations context</x:v>
      </x:c>
      <x:c r="H17" s="303" t="str">
        <x:v>No parcel or deed verified</x:v>
      </x:c>
      <x:c r="I17" s="303" t="str">
        <x:v>No direct Epstein role in the extracted line</x:v>
      </x:c>
      <x:c r="J17" s="303" t="str">
        <x:v>Appears in a New Albany Company cash-flow report</x:v>
      </x:c>
      <x:c r="K17" s="303" t="str">
        <x:v>2005</x:v>
      </x:c>
      <x:c r="L17" s="303" t="str">
        <x:v>direct corpus label confirmed; legal form unverified</x:v>
      </x:c>
      <x:c r="M17" s="303" t="str">
        <x:v>Unresolved</x:v>
      </x:c>
      <x:c r="N17" s="303" t="str">
        <x:v>medium-priority candidate</x:v>
      </x:c>
      <x:c r="O17" s="303" t="str">
        <x:v>EFTA00577400</x:v>
      </x:c>
      <x:c r="P17" s="303" t="str">
        <x:v>The record says 'Subsidiary Funding' but gives no legal suffix.</x:v>
      </x:c>
    </x:row>
    <x:row r="18" ht="64" customHeight="1">
      <x:c r="A18" s="303" t="str">
        <x:v>L.A.W. Plantation Management Corp.</x:v>
      </x:c>
      <x:c r="B18" s="303" t="str">
        <x:v>LAW Plantation Management Corp.; L A W Plantation Management Corp.</x:v>
      </x:c>
      <x:c r="C18" s="303" t="str">
        <x:v>corporation / management candidate</x:v>
      </x:c>
      <x:c r="D18" s="303" t="str">
        <x:v>unknown</x:v>
      </x:c>
      <x:c r="E18" s="303"/>
      <x:c r="F18" s="303" t="str">
        <x:v>unresolved</x:v>
      </x:c>
      <x:c r="G18" s="303" t="str">
        <x:v>6525 W Campus Oval; 8000 Walton Pkwy, New Albany, OH</x:v>
      </x:c>
      <x:c r="H18" s="303" t="str">
        <x:v>No Ohio property verified</x:v>
      </x:c>
      <x:c r="I18" s="303" t="str">
        <x:v>Business-information reports list Epstein as CEO</x:v>
      </x:c>
      <x:c r="J18" s="303" t="str">
        <x:v>Business-information reports list Indyke as secretary in the Wexner/New Albany address cluster</x:v>
      </x:c>
      <x:c r="K18" s="303" t="str">
        <x:v>1990s-2000s, exact dates unresolved</x:v>
      </x:c>
      <x:c r="L18" s="303" t="str">
        <x:v>secondary business-information candidate only; primary registry access incomplete</x:v>
      </x:c>
      <x:c r="M18" s="303" t="str">
        <x:v>Unresolved</x:v>
      </x:c>
      <x:c r="N18" s="303" t="str">
        <x:v>high-priority primary verification</x:v>
      </x:c>
      <x:c r="O18" s="303" t="str">
        <x:v>EFTA01387832; EFTA01480668</x:v>
      </x:c>
      <x:c r="P18" s="303" t="str">
        <x:v>Do not promote the officer claims until a primary state filing is retrieved.</x:v>
      </x:c>
    </x:row>
    <x:row r="19" ht="64" customHeight="1">
      <x:c r="A19" s="303" t="str">
        <x:v>H.R.E.I. Trust</x:v>
      </x:c>
      <x:c r="B19" s="303" t="str">
        <x:v>HREI Trust; H R E I Trust</x:v>
      </x:c>
      <x:c r="C19" s="303" t="str">
        <x:v>Ohio investment trust</x:v>
      </x:c>
      <x:c r="D19" s="303" t="str">
        <x:v>Ohio</x:v>
      </x:c>
      <x:c r="E19" s="303"/>
      <x:c r="F19" s="303" t="str">
        <x:v>unresolved</x:v>
      </x:c>
      <x:c r="G19" s="303" t="str">
        <x:v>6525 W Campus Oval, Suite 105, New Albany, OH</x:v>
      </x:c>
      <x:c r="H19" s="303" t="str">
        <x:v>No parcel verified</x:v>
      </x:c>
      <x:c r="I19" s="303" t="str">
        <x:v>Co-trustee</x:v>
      </x:c>
      <x:c r="J19" s="303" t="str">
        <x:v>Wexner co-trustee</x:v>
      </x:c>
      <x:c r="K19" s="303" t="str">
        <x:v>2003-2004</x:v>
      </x:c>
      <x:c r="L19" s="303" t="str">
        <x:v>SEC primary filing confirmed</x:v>
      </x:c>
      <x:c r="M19" s="303" t="str">
        <x:v>Later shares transferred into R.H.R.E.I. Trust; exact trust termination unresolved</x:v>
      </x:c>
      <x:c r="N19" s="303" t="str">
        <x:v>confirmed trust architecture</x:v>
      </x:c>
      <x:c r="O19" s="303" t="str">
        <x:v>SEC:901359:000090951803000656; SEC:901359:000090951804000954</x:v>
      </x:c>
      <x:c r="P19" s="303" t="str">
        <x:v>Search trust, UCC, and assumed-name records rather than only corporations.</x:v>
      </x:c>
    </x:row>
    <x:row r="20" ht="64" customHeight="1">
      <x:c r="A20" s="303" t="str">
        <x:v>R.H.R.E.I. Trust</x:v>
      </x:c>
      <x:c r="B20" s="303" t="str">
        <x:v>RHREI Trust; R H R E I Trust</x:v>
      </x:c>
      <x:c r="C20" s="303" t="str">
        <x:v>Ohio investment trust</x:v>
      </x:c>
      <x:c r="D20" s="303" t="str">
        <x:v>Ohio</x:v>
      </x:c>
      <x:c r="E20" s="303"/>
      <x:c r="F20" s="303" t="str">
        <x:v>unresolved</x:v>
      </x:c>
      <x:c r="G20" s="303" t="str">
        <x:v>8000 Walton Pkwy, New Albany, OH</x:v>
      </x:c>
      <x:c r="H20" s="303" t="str">
        <x:v>No parcel verified</x:v>
      </x:c>
      <x:c r="I20" s="303" t="str">
        <x:v>Controlled indirectly through Financial Trust Company, Inc., whose sole stockholder/director/president was Epstein</x:v>
      </x:c>
      <x:c r="J20" s="303" t="str">
        <x:v>Held Limited Brands shares in the Wexner reporting group</x:v>
      </x:c>
      <x:c r="K20" s="303" t="str">
        <x:v>2005-2006</x:v>
      </x:c>
      <x:c r="L20" s="303" t="str">
        <x:v>SEC primary filing confirmed</x:v>
      </x:c>
      <x:c r="M20" s="303" t="str">
        <x:v>Existing records indicate a later trustee transition, but primary Ohio trust record not retrieved</x:v>
      </x:c>
      <x:c r="N20" s="303" t="str">
        <x:v>confirmed trust architecture</x:v>
      </x:c>
      <x:c r="O20" s="303" t="str">
        <x:v>SEC:901359:000090951805000716; SEC:901359:000090951806000816</x:v>
      </x:c>
      <x:c r="P20" s="303" t="str">
        <x:v>Punctuation-free variants are essential.</x:v>
      </x:c>
    </x:row>
    <x:row r="21" ht="64" customHeight="1">
      <x:c r="A21" s="303" t="str">
        <x:v>Trust 600</x:v>
      </x:c>
      <x:c r="B21" s="303" t="str">
        <x:v>Trust Six Hundred; 600 Trust</x:v>
      </x:c>
      <x:c r="C21" s="303" t="str">
        <x:v>Ohio investment trust</x:v>
      </x:c>
      <x:c r="D21" s="303" t="str">
        <x:v>Ohio</x:v>
      </x:c>
      <x:c r="E21" s="303"/>
      <x:c r="F21" s="303" t="str">
        <x:v>unresolved</x:v>
      </x:c>
      <x:c r="G21" s="303" t="str">
        <x:v>8000 Walton Pkwy, New Albany, OH</x:v>
      </x:c>
      <x:c r="H21" s="303" t="str">
        <x:v>No parcel verified</x:v>
      </x:c>
      <x:c r="I21" s="303" t="str">
        <x:v>Controlled indirectly through Financial Trust Company, Inc., whose sole stockholder/director/president was Epstein</x:v>
      </x:c>
      <x:c r="J21" s="303" t="str">
        <x:v>Held Limited Brands shares in the Wexner reporting group</x:v>
      </x:c>
      <x:c r="K21" s="303" t="str">
        <x:v>2005-2006</x:v>
      </x:c>
      <x:c r="L21" s="303" t="str">
        <x:v>SEC primary filing confirmed</x:v>
      </x:c>
      <x:c r="M21" s="303" t="str">
        <x:v>Primary Ohio trust record not retrieved</x:v>
      </x:c>
      <x:c r="N21" s="303" t="str">
        <x:v>confirmed trust architecture</x:v>
      </x:c>
      <x:c r="O21" s="303" t="str">
        <x:v>SEC:901359:000090951805000716; SEC:901359:000090951806000816</x:v>
      </x:c>
      <x:c r="P21" s="303" t="str">
        <x:v>Search business-trust, UCC, tax, and assumed-name indexes.</x:v>
      </x:c>
    </x:row>
    <x:row r="22" ht="64" customHeight="1">
      <x:c r="A22" s="303" t="str">
        <x:v>The Wexner Foundation</x:v>
      </x:c>
      <x:c r="B22" s="303" t="str">
        <x:v>Wexner Foundation; Ohio 436405</x:v>
      </x:c>
      <x:c r="C22" s="303" t="str">
        <x:v>foundation / nonprofit</x:v>
      </x:c>
      <x:c r="D22" s="303" t="str">
        <x:v>Ohio / current EIN 23-7320631</x:v>
      </x:c>
      <x:c r="E22" s="303" t="str">
        <x:v>436405</x:v>
      </x:c>
      <x:c r="F22" s="303" t="str">
        <x:v>active</x:v>
      </x:c>
      <x:c r="G22" s="303" t="str">
        <x:v>41 S High St; later 6525 W Campus Oval, New Albany, OH</x:v>
      </x:c>
      <x:c r="H22" s="303" t="str">
        <x:v>No parcel verified in this wave</x:v>
      </x:c>
      <x:c r="I22" s="303" t="str">
        <x:v>SEC filing identifies Epstein as trustee; primary Ohio filing history remains pending</x:v>
      </x:c>
      <x:c r="J22" s="303" t="str">
        <x:v>Wexner founder/trustee</x:v>
      </x:c>
      <x:c r="K22" s="303" t="str">
        <x:v>1992-2007 reported Epstein role</x:v>
      </x:c>
      <x:c r="L22" s="303" t="str">
        <x:v>Official Ohio registry metadata, SEC primary filing, and later commissioned review</x:v>
      </x:c>
      <x:c r="M22" s="303" t="str">
        <x:v>Exact Ohio charter established; Ohio trustee, merger, and removal packets not yet retrieved</x:v>
      </x:c>
      <x:c r="N22" s="303" t="str">
        <x:v>high-confidence external-role candidate / primary Ohio history pending</x:v>
      </x:c>
      <x:c r="O22" s="303" t="str">
        <x:v>OH-REGISTRY:436405; SEC:901359:000095010994000416; wexner_foundation_review; FINDING:14525; FINDING:14526</x:v>
      </x:c>
      <x:c r="P22" s="303" t="str">
        <x:v>Use historical board actions and nonprofit filings, not current officer lists. Do not code an Ohio-filing-confirmed role until the charter history is reviewed.</x:v>
      </x:c>
    </x:row>
    <x:row r="23" ht="64" customHeight="1">
      <x:c r="A23" s="303" t="str">
        <x:v>INN Investment Corp.</x:v>
      </x:c>
      <x:c r="B23" s="303" t="str">
        <x:v>Inn Investment Corp.</x:v>
      </x:c>
      <x:c r="C23" s="303" t="str">
        <x:v>Ohio for-profit corporation / hotel-partnership investor</x:v>
      </x:c>
      <x:c r="D23" s="303" t="str">
        <x:v>Ohio</x:v>
      </x:c>
      <x:c r="E23" s="303" t="str">
        <x:v>678033</x:v>
      </x:c>
      <x:c r="F23" s="303" t="str">
        <x:v>dead / dissolved</x:v>
      </x:c>
      <x:c r="G23" s="303" t="str">
        <x:v>c/o Wexner Investment Co., 41 S High St., Suite 3710, Columbus, OH 43215</x:v>
      </x:c>
      <x:c r="H23" s="303" t="str">
        <x:v>Limited-partner interest and stated obligations in BI Limited Partnership; no fee-title deed identified</x:v>
      </x:c>
      <x:c r="I23" s="303" t="str">
        <x:v>President; signed the 1992 dissolution and related affidavits</x:v>
      </x:c>
      <x:c r="J23" s="303" t="str">
        <x:v>Wexner was the listed director</x:v>
      </x:c>
      <x:c r="K23" s="303" t="str">
        <x:v>1986-1992</x:v>
      </x:c>
      <x:c r="L23" s="303" t="str">
        <x:v>primary Ohio filing and Franklin Recorder partnership images confirmed</x:v>
      </x:c>
      <x:c r="M23" s="303" t="str">
        <x:v>Dissolved 1992-06-02 and withdrew from the hotel partnership in 1992; no corporate survivor</x:v>
      </x:c>
      <x:c r="N23" s="303" t="str">
        <x:v>confirmed historical role / partnership investment</x:v>
      </x:c>
      <x:c r="O23" s="303" t="str">
        <x:v>F891_1891;H363_1780;FRANKLIN-RECORDER:198608270148627;FRANKLIN-RECORDER:199204240104818;FINDING:14555;FINDING:14619;FINDING:14620</x:v>
      </x:c>
      <x:c r="P23" s="303" t="str">
        <x:v>The corporate filing's unnamed sole shareholder remains unknown. Partnership status and obligations do not establish fee title to the hotel land.</x:v>
      </x:c>
    </x:row>
    <x:row r="24" ht="64" customHeight="1">
      <x:c r="A24" s="303" t="str">
        <x:v>Cherry Bottom Investors, Inc.</x:v>
      </x:c>
      <x:c r="B24" s="303" t="str">
        <x:v>Cherry Bottom Investors Inc.; CBI; Ohio 719718</x:v>
      </x:c>
      <x:c r="C24" s="303" t="str">
        <x:v>Ohio for-profit corporation / merger predecessor</x:v>
      </x:c>
      <x:c r="D24" s="303" t="str">
        <x:v>Ohio</x:v>
      </x:c>
      <x:c r="E24" s="303" t="str">
        <x:v>719718</x:v>
      </x:c>
      <x:c r="F24" s="303" t="str">
        <x:v>dead / merged out</x:v>
      </x:c>
      <x:c r="G24" s="303" t="str">
        <x:v>41 S High St., Suite 2300, Columbus, OH 43215</x:v>
      </x:c>
      <x:c r="H24" s="303" t="str">
        <x:v>Pre-merger corporate/partnership records; one 1991 easement uses the old name after merger but does not revive the corporation</x:v>
      </x:c>
      <x:c r="I24" s="303" t="str">
        <x:v>President; signed the 1990 merger certificate and agreement</x:v>
      </x:c>
      <x:c r="J24" s="303" t="str">
        <x:v>No Wexner role appears in the reviewed merger packet</x:v>
      </x:c>
      <x:c r="K24" s="303" t="str">
        <x:v>1988-1990; stale name use in one 1991 easement</x:v>
      </x:c>
      <x:c r="L24" s="303" t="str">
        <x:v>full Ohio filing and targeted Franklin recorder family images reviewed</x:v>
      </x:c>
      <x:c r="M24" s="303" t="str">
        <x:v>Merged into Cherry Bottom Properties, Inc. on 1990-08-31</x:v>
      </x:c>
      <x:c r="N24" s="303" t="str">
        <x:v>confirmed historical role and merger</x:v>
      </x:c>
      <x:c r="O24" s="303" t="str">
        <x:v>G337_1113;G946_1533;G946_1539;G946_1531;FRANKLIN-RECORDER:199109130145233;FINDING:14556;FINDING:14597;FINDING:14607;FINDING:14608</x:v>
      </x:c>
      <x:c r="P24" s="303" t="str">
        <x:v>The substantive agreement expressly names Properties as survivor. The later easement lacks revival or successor language and is treated as stale-name execution.</x:v>
      </x:c>
    </x:row>
    <x:row r="25" ht="64" customHeight="1">
      <x:c r="A25" s="303" t="str">
        <x:v>Cherry Bottom Properties, Inc.</x:v>
      </x:c>
      <x:c r="B25" s="303" t="str">
        <x:v>Cherry Bottom Properties Inc.; CBP</x:v>
      </x:c>
      <x:c r="C25" s="303" t="str">
        <x:v>Ohio for-profit corporation / merger survivor and landholding vehicle</x:v>
      </x:c>
      <x:c r="D25" s="303" t="str">
        <x:v>Ohio</x:v>
      </x:c>
      <x:c r="E25" s="303" t="str">
        <x:v>719719</x:v>
      </x:c>
      <x:c r="F25" s="303" t="str">
        <x:v>dead / dissolved</x:v>
      </x:c>
      <x:c r="G25" s="303" t="str">
        <x:v>41 S High St., Suite 2300, Columbus; later New Albany; c/o N.A. Property, Inc., 5906 E Dublin-Granville Rd.</x:v>
      </x:c>
      <x:c r="H25" s="303" t="str">
        <x:v>Multiple Franklin tracts and commercial/development instruments; 33.664-acre KG conveyance; Gahanna medical-office tract; later Wexner-signed dispositions</x:v>
      </x:c>
      <x:c r="I25" s="303" t="str">
        <x:v>Vice president at the 1990 merger; Epstein executed the 1991 KG and 1992 Gahanna deeds as vice president</x:v>
      </x:c>
      <x:c r="J25" s="303" t="str">
        <x:v>Wexner was sole listed director/president at dissolution and signed later 1997-1998 deeds as president</x:v>
      </x:c>
      <x:c r="K25" s="303" t="str">
        <x:v>1988-1998</x:v>
      </x:c>
      <x:c r="L25" s="303" t="str">
        <x:v>complete targeted Franklin family: 25 instruments / 162 pages OCRed and decisive images reviewed</x:v>
      </x:c>
      <x:c r="M25" s="303" t="str">
        <x:v>Survived Investors merger 1990-08-31; dissolved 1998-12-28</x:v>
      </x:c>
      <x:c r="N25" s="303" t="str">
        <x:v>confirmed historical roles / property and financing chain</x:v>
      </x:c>
      <x:c r="O25" s="303" t="str">
        <x:v>G337_1120;G946_1531;G946_1533;199836304760;FRANKLIN-RECORDER:199110040159339;FRANKLIN-RECORDER:199110040159341;FRANKLIN-RECORDER:199307120168459;FINDING:14616;FINDING:14617;FINDING:14618;FINDING:14624;FINDING:14625;FINDING:14626;FINDING:14631</x:v>
      </x:c>
      <x:c r="P25" s="303" t="str">
        <x:v>Its $1.08 million seller mortgage to KG was later satisfied. Nominal consideration and conveyance-tax stamps are not treated as sale prices; corporate signatures do not prove beneficial ownership.</x:v>
      </x:c>
    </x:row>
    <x:row r="26" ht="64" customHeight="1">
      <x:c r="A26" s="303" t="str">
        <x:v>Architonics, Inc.</x:v>
      </x:c>
      <x:c r="B26" s="303" t="str">
        <x:v>Architonics Inc.</x:v>
      </x:c>
      <x:c r="C26" s="303" t="str">
        <x:v>Ohio for-profit corporation / 23-company merger survivor</x:v>
      </x:c>
      <x:c r="D26" s="303" t="str">
        <x:v>Ohio</x:v>
      </x:c>
      <x:c r="E26" s="303" t="str">
        <x:v>713548</x:v>
      </x:c>
      <x:c r="F26" s="303" t="str">
        <x:v>dead / dissolved after surviving merger</x:v>
      </x:c>
      <x:c r="G26" s="303" t="str">
        <x:v>Formation: Dublin, Franklin County; original agent 475 Metro Place North, Suite 200; dissolution: SKWR, 41 S. High St., 23rd Floor, Columbus</x:v>
      </x:c>
      <x:c r="H26" s="303" t="str">
        <x:v>Recorder index: 24.642 acres acquired from Ted R. Meteer on 1987-12-08; 24.642 acres conveyed to New Albany Co. on 1989-12-28; a second multi-tract deed to New Albany Co. recorded 1989-12-29</x:v>
      </x:c>
      <x:c r="I26" s="303" t="str">
        <x:v>No Epstein role appears in the complete exact-charter history</x:v>
      </x:c>
      <x:c r="J26" s="303" t="str">
        <x:v>No Wexner role appears in the complete exact-charter history</x:v>
      </x:c>
      <x:c r="K26" s="303" t="str">
        <x:v>1987-12-07 to 1989-12-29</x:v>
      </x:c>
      <x:c r="L26" s="303" t="str">
        <x:v>complete Ohio corporate history plus official Franklin recorder index hits confirmed; deed images pending</x:v>
      </x:c>
      <x:c r="M26" s="303" t="str">
        <x:v>Survived the 23-company merger 1989-12-22, made indexed conveyances to New Albany Co. on 1989-12-28 and 1989-12-29, and dissolved 1989-12-29; completeness and predecessor parcel origins unresolved</x:v>
      </x:c>
      <x:c r="N26" s="303" t="str">
        <x:v>highest-priority deed-image, predecessor-parcel, and final-distribution follow-up</x:v>
      </x:c>
      <x:c r="O26" s="303" t="str">
        <x:v>G284_0971;G774_0107;G805_0277;FINDING:14558;FINDING:14593;FRANKLIN-RECORDER:198712080212780;FRANKLIN-RECORDER:198912280188790;FRANKLIN-RECORDER:198912290189094;FINDING:14602</x:v>
      </x:c>
      <x:c r="P26" s="303" t="str">
        <x:v>The two post-merger deed dates are strong temporal and disposition evidence, but the index alone does not show which predecessor supplied a parcel, whether every vested asset was conveyed, or who beneficially owned the entities.</x:v>
      </x:c>
    </x:row>
    <x:row r="27" ht="64" customHeight="1">
      <x:c r="A27" s="303" t="str">
        <x:v>LEWEX, Inc.</x:v>
      </x:c>
      <x:c r="B27" s="303" t="str">
        <x:v>LEWEX INC.; Samax Trading Corporation; Samax Trading Corp.; Ohio charter 658220</x:v>
      </x:c>
      <x:c r="C27" s="303" t="str">
        <x:v>Ohio for-profit corporation</x:v>
      </x:c>
      <x:c r="D27" s="303" t="str">
        <x:v>Ohio</x:v>
      </x:c>
      <x:c r="E27" s="303" t="str">
        <x:v>658220</x:v>
      </x:c>
      <x:c r="F27" s="303" t="str">
        <x:v>dead / dissolved</x:v>
      </x:c>
      <x:c r="G27" s="303" t="str">
        <x:v>Agent at 250 E Broad St. then 41 S High St.; later officers c/o Wexner Investment Company, 41 S High St., Suite 3710, Columbus</x:v>
      </x:c>
      <x:c r="H27" s="303" t="str">
        <x:v>No parcel or deed verified</x:v>
      </x:c>
      <x:c r="I27" s="303" t="str">
        <x:v>Vice president and treasurer; signed the 1992 dissolution</x:v>
      </x:c>
      <x:c r="J27" s="303" t="str">
        <x:v>Wexner was director and president</x:v>
      </x:c>
      <x:c r="K27" s="303" t="str">
        <x:v>1985-1992</x:v>
      </x:c>
      <x:c r="L27" s="303" t="str">
        <x:v>full available Ohio filing history reviewed; one miscellaneous row unavailable</x:v>
      </x:c>
      <x:c r="M27" s="303" t="str">
        <x:v>Dissolved 1992-12-22; no corporate survivor</x:v>
      </x:c>
      <x:c r="N27" s="303" t="str">
        <x:v>confirmed historical role</x:v>
      </x:c>
      <x:c r="O27" s="303" t="str">
        <x:v>F688_0728; F771_0253; G279_0229; G279_0236; H503_1252; FINDING:14561; FINDING:14595</x:v>
      </x:c>
      <x:c r="P27" s="303" t="str">
        <x:v>Exact-charter alias: Samax Trading Corporation became LEWEX in 1987. Earlier filings do not name Epstein or Wexner. The name change and later officer roster do not reveal when control changed.</x:v>
      </x:c>
    </x:row>
    <x:row r="28" ht="64" customHeight="1">
      <x:c r="A28" s="303" t="str">
        <x:v>West First Plaza, Inc.</x:v>
      </x:c>
      <x:c r="B28" s="303" t="str">
        <x:v>West First Plaza Inc.</x:v>
      </x:c>
      <x:c r="C28" s="303" t="str">
        <x:v>Ohio for-profit corporation</x:v>
      </x:c>
      <x:c r="D28" s="303" t="str">
        <x:v>Ohio</x:v>
      </x:c>
      <x:c r="E28" s="303" t="str">
        <x:v>777500</x:v>
      </x:c>
      <x:c r="F28" s="303" t="str">
        <x:v>dead / dissolved</x:v>
      </x:c>
      <x:c r="G28" s="303" t="str">
        <x:v>c/o Wexner Investment Company, 41 S High St., Suite 3710; vice president c/o New Albany Realty Corp., 5757 Johnstown Rd.</x:v>
      </x:c>
      <x:c r="H28" s="303" t="str">
        <x:v>No Franklin exact-party or tested OCR hit in the exhaustive target search</x:v>
      </x:c>
      <x:c r="I28" s="303" t="str">
        <x:v>President; signed the 1992 dissolution and affidavits</x:v>
      </x:c>
      <x:c r="J28" s="303" t="str">
        <x:v>Wexner was the listed director</x:v>
      </x:c>
      <x:c r="K28" s="303" t="str">
        <x:v>1990-1992</x:v>
      </x:c>
      <x:c r="L28" s="303" t="str">
        <x:v>primary Ohio articles/dissolution images plus bounded Franklin zero</x:v>
      </x:c>
      <x:c r="M28" s="303" t="str">
        <x:v>Dissolved 1992-12-22; no corporate survivor</x:v>
      </x:c>
      <x:c r="N28" s="303" t="str">
        <x:v>confirmed historical role / bounded property-search zero</x:v>
      </x:c>
      <x:c r="O28" s="303" t="str">
        <x:v>G909_1798;H503_1258;FINDING:14560</x:v>
      </x:c>
      <x:c r="P28" s="303" t="str">
        <x:v>The zero applies only to the searched Franklin name variants and OCR corpus; it is not proof the entity never held property elsewhere or under another name.</x:v>
      </x:c>
    </x:row>
    <x:row r="29" ht="64" customHeight="1">
      <x:c r="A29" s="303" t="str">
        <x:v>Park Properties, Inc.</x:v>
      </x:c>
      <x:c r="B29" s="303" t="str">
        <x:v>Park Properties Inc.; Ohio 626053</x:v>
      </x:c>
      <x:c r="C29" s="303" t="str">
        <x:v>Ohio for-profit corporation / partnership general partner and lender</x:v>
      </x:c>
      <x:c r="D29" s="303" t="str">
        <x:v>Ohio</x:v>
      </x:c>
      <x:c r="E29" s="303" t="str">
        <x:v>626053</x:v>
      </x:c>
      <x:c r="F29" s="303" t="str">
        <x:v>dead / dissolved</x:v>
      </x:c>
      <x:c r="G29" s="303" t="str">
        <x:v>Agent at 250 E Broad St. then 41 S High St.; later officers c/o Wexner Investment Company, 41 S High St., Suite 3710, Columbus</x:v>
      </x:c>
      <x:c r="H29" s="303" t="str">
        <x:v>C.H. Development Group financing tied to five Columbus lot groups; Park was general partner/mortgagee, not shown as fee owner</x:v>
      </x:c>
      <x:c r="I29" s="303" t="str">
        <x:v>Vice president in 1992 dissolution; no Epstein signature in the reviewed recorder family</x:v>
      </x:c>
      <x:c r="J29" s="303" t="str">
        <x:v>Wexner was sole director/president in 1992 dissolution; no Wexner signature in reviewed recorder family</x:v>
      </x:c>
      <x:c r="K29" s="303" t="str">
        <x:v>1984-1992</x:v>
      </x:c>
      <x:c r="L29" s="303" t="str">
        <x:v>17-instrument Franklin family reconstructed; decisive images reviewed and four UCC pages unavailable</x:v>
      </x:c>
      <x:c r="M29" s="303" t="str">
        <x:v>Dissolved 1992-12-22; mortgage fully satisfied in 1990; no merger or assignment shown</x:v>
      </x:c>
      <x:c r="N29" s="303" t="str">
        <x:v>confirmed corporate role / financing chain</x:v>
      </x:c>
      <x:c r="O29" s="303" t="str">
        <x:v>F377_0978;F771_0256;H526_0788;FRANKLIN-RECORDER:198402030051783;FRANKLIN-RECORDER:199002200063673;FINDING:14639;FINDING:14640</x:v>
      </x:c>
      <x:c r="P29" s="303" t="str">
        <x:v>One partnership loan was capped at $5 million; Fried guaranteed 23% and his mortgage cap was $1.15 million. Two later apparent $5 million hits were corrected duplicate recordings, not separate loans.</x:v>
      </x:c>
    </x:row>
    <x:row r="30" ht="64" customHeight="1">
      <x:c r="A30" s="303" t="str">
        <x:v>C-Wren Investment Corp.</x:v>
      </x:c>
      <x:c r="B30" s="303" t="str">
        <x:v>C-Wren Investment Corporation; C Wren Investment Corp.; Ohio 803531</x:v>
      </x:c>
      <x:c r="C30" s="303" t="str">
        <x:v>Ohio for-profit corporation / KG Partners member</x:v>
      </x:c>
      <x:c r="D30" s="303" t="str">
        <x:v>Ohio</x:v>
      </x:c>
      <x:c r="E30" s="303" t="str">
        <x:v>803531</x:v>
      </x:c>
      <x:c r="F30" s="303" t="str">
        <x:v>dead / dissolved</x:v>
      </x:c>
      <x:c r="G30" s="303" t="str">
        <x:v>c/o Wexner Investment Company, 41 S High St., Suite 3710, Columbus, OH 43215</x:v>
      </x:c>
      <x:c r="H30" s="303" t="str">
        <x:v>Through KG Partners, the 33.664-acre Christopher Wren Apartments tract and related financing/easement/dedication chain</x:v>
      </x:c>
      <x:c r="I30" s="303" t="str">
        <x:v>Vice president/treasurer in dissolution; signed 1991 KG certificate and 1993 Columbus right-of-way deed as C-Wren vice president</x:v>
      </x:c>
      <x:c r="J30" s="303" t="str">
        <x:v>Wexner was sole director/president in dissolution; no beneficial property interest is stated</x:v>
      </x:c>
      <x:c r="K30" s="303" t="str">
        <x:v>1991-1993</x:v>
      </x:c>
      <x:c r="L30" s="303" t="str">
        <x:v>Ohio history plus complete 19-instrument KG family; 17 image-reviewed and 2 image-unavailable UCC releases</x:v>
      </x:c>
      <x:c r="M30" s="303" t="str">
        <x:v>Dissolved 1993-12-30; no corporate merger; KG's recorded Bank One and Cherry mortgages were released in 1993</x:v>
      </x:c>
      <x:c r="N30" s="303" t="str">
        <x:v>confirmed corporate role / partnership property chain</x:v>
      </x:c>
      <x:c r="O30" s="303" t="str">
        <x:v>H205_0694;9420_1032;FRANKLIN-RECORDER:199110040159108;FRANKLIN-RECORDER:199110040159339;FRANKLIN-RECORDER:199305130127826;FRANKLIN-RECORDER:199307090167426;FINDING:14644;FINDING:14645</x:v>
      </x:c>
      <x:c r="P30" s="303" t="str">
        <x:v>KG's 50% qualified LP allocation is not allocated between K-L and C-Wren. Epstein's signatures establish corporate capacity, not beneficial ownership.</x:v>
      </x:c>
    </x:row>
    <x:row r="31" ht="64" customHeight="1">
      <x:c r="A31" s="303" t="str">
        <x:v>PFI Leasing, Inc.</x:v>
      </x:c>
      <x:c r="B31" s="303" t="str">
        <x:v>PFI Leasing Inc.</x:v>
      </x:c>
      <x:c r="C31" s="303" t="str">
        <x:v>Ohio for-profit corporation</x:v>
      </x:c>
      <x:c r="D31" s="303" t="str">
        <x:v>Ohio</x:v>
      </x:c>
      <x:c r="E31" s="303" t="str">
        <x:v>624047</x:v>
      </x:c>
      <x:c r="F31" s="303" t="str">
        <x:v>dead / dissolved</x:v>
      </x:c>
      <x:c r="G31" s="303" t="str">
        <x:v>c/o Wexner Investment Co., 41 S High St., Suite 3710, Columbus, OH 43215</x:v>
      </x:c>
      <x:c r="H31" s="303" t="str">
        <x:v>No Franklin exact-party or tested OCR hit; no leased asset identified</x:v>
      </x:c>
      <x:c r="I31" s="303" t="str">
        <x:v>Vice president and treasurer; signed the 1990 dissolution</x:v>
      </x:c>
      <x:c r="J31" s="303" t="str">
        <x:v>Wexner was director and president</x:v>
      </x:c>
      <x:c r="K31" s="303" t="str">
        <x:v>1983-1990</x:v>
      </x:c>
      <x:c r="L31" s="303" t="str">
        <x:v>primary Ohio dissolution image plus bounded Franklin zero</x:v>
      </x:c>
      <x:c r="M31" s="303" t="str">
        <x:v>Dissolved 1990-12-26; no corporate survivor</x:v>
      </x:c>
      <x:c r="N31" s="303" t="str">
        <x:v>confirmed historical role / bounded property-search zero</x:v>
      </x:c>
      <x:c r="O31" s="303" t="str">
        <x:v>H043_1630;FINDING:14564</x:v>
      </x:c>
      <x:c r="P31" s="303" t="str">
        <x:v>The Franklin zero does not exclude assets indexed under a lessor, address, former name, or another county.</x:v>
      </x:c>
    </x:row>
    <x:row r="32" ht="64" customHeight="1">
      <x:c r="A32" s="303" t="str">
        <x:v>Rocky Fork Development Corporation</x:v>
      </x:c>
      <x:c r="B32" s="303" t="str">
        <x:v>Rocky Fork Development Corp.</x:v>
      </x:c>
      <x:c r="C32" s="303" t="str">
        <x:v>Ohio for-profit corporation / merger survivor and New Albany general partner</x:v>
      </x:c>
      <x:c r="D32" s="303" t="str">
        <x:v>Ohio</x:v>
      </x:c>
      <x:c r="E32" s="303" t="str">
        <x:v>706978</x:v>
      </x:c>
      <x:c r="F32" s="303" t="str">
        <x:v>dead / dissolved</x:v>
      </x:c>
      <x:c r="G32" s="303" t="str">
        <x:v>41 S High St., Columbus; later c/o Wexner Investment Company, Suite 3710</x:v>
      </x:c>
      <x:c r="H32" s="303" t="str">
        <x:v>Four 1987 merger-successor deeds tie Hinson, Brewer Farms, Central Falls, and Bearce Hollow land to New Albany; later easement/development instruments</x:v>
      </x:c>
      <x:c r="I32" s="303" t="str">
        <x:v>Vice president at dissolution; signed a 1991 amended New Albany partnership certificate as Rocky Fork president and Community Projects vice president</x:v>
      </x:c>
      <x:c r="J32" s="303" t="str">
        <x:v>Wexner was sole director/president in the 1992 dissolution</x:v>
      </x:c>
      <x:c r="K32" s="303" t="str">
        <x:v>1987-1992</x:v>
      </x:c>
      <x:c r="L32" s="303" t="str">
        <x:v>complete targeted 12-instrument Franklin family OCRed and decisive images reviewed</x:v>
      </x:c>
      <x:c r="M32" s="303" t="str">
        <x:v>Recorder deeds identify Rocky Fork as successor by merger to four predecessors; December 1992 confirmatory deed transferred New Albany partnership assets to the Delaware LP; Rocky Fork dissolved 1992-12-29</x:v>
      </x:c>
      <x:c r="N32" s="303" t="str">
        <x:v>confirmed merger/property/partnership chain</x:v>
      </x:c>
      <x:c r="O32" s="303" t="str">
        <x:v>G313_0688;H509_0296;FRANKLIN-RECORDER:198712310221397;FRANKLIN-RECORDER:198712310221398;FRANKLIN-RECORDER:198712310221399;FRANKLIN-RECORDER:198712310221400;FRANKLIN-RECORDER:199212080242110;FINDING:14633;FINDING:14634;FINDING:14636</x:v>
      </x:c>
      <x:c r="P32" s="303" t="str">
        <x:v>The 1987 deeds resolve the recorder/title successor for four predecessors, but do not by themselves replace or expand the statutory corporate merger filings. Officer signatures prove capacity, not beneficial ownership.</x:v>
      </x:c>
    </x:row>
    <x:row r="33" ht="64" customHeight="1">
      <x:c r="A33" s="303" t="str">
        <x:v>City Centre Investment Corp.</x:v>
      </x:c>
      <x:c r="B33" s="303" t="str">
        <x:v>City Centre Investment Corporation</x:v>
      </x:c>
      <x:c r="C33" s="303" t="str">
        <x:v>Ohio for-profit corporation / hotel-investment vehicle</x:v>
      </x:c>
      <x:c r="D33" s="303" t="str">
        <x:v>Ohio</x:v>
      </x:c>
      <x:c r="E33" s="303" t="str">
        <x:v>712332</x:v>
      </x:c>
      <x:c r="F33" s="303" t="str">
        <x:v>dead / dissolved</x:v>
      </x:c>
      <x:c r="G33" s="303" t="str">
        <x:v>c/o Wexner Investment Co., Suite 3710, 41 South High Street, Columbus, OH 43215</x:v>
      </x:c>
      <x:c r="H33" s="303" t="str">
        <x:v>1987 limited-partnership structure; 1994 deed of parcel 010-139305 to Columbus Hospitality Associates, Limited Partnership</x:v>
      </x:c>
      <x:c r="I33" s="303" t="str">
        <x:v>President in the 1994 dissolution officer list</x:v>
      </x:c>
      <x:c r="J33" s="303" t="str">
        <x:v>Wexner was the listed director</x:v>
      </x:c>
      <x:c r="K33" s="303" t="str">
        <x:v>1987-1994</x:v>
      </x:c>
      <x:c r="L33" s="303" t="str">
        <x:v>primary Ohio and Franklin Recorder images confirmed</x:v>
      </x:c>
      <x:c r="M33" s="303" t="str">
        <x:v>Dissolved 1994-12-28; 1995 partnership cancellation says assets were distributed but does not name the recipient</x:v>
      </x:c>
      <x:c r="N33" s="303" t="str">
        <x:v>confirmed historical role / property disposition</x:v>
      </x:c>
      <x:c r="O33" s="303" t="str">
        <x:v>5024_1021;FRANKLIN-RECORDER:198712310221555;FRANKLIN-RECORDER:199412210263357;FRANKLIN-RECORDER:199501200051915;FINDING:14629;FINDING:14630</x:v>
      </x:c>
      <x:c r="P33" s="303" t="str">
        <x:v>The deed's $1 recital and $5,420 conveyance-tax figure are not treated as a sale price. The partnership cancellation does not identify who received any remaining assets.</x:v>
      </x:c>
    </x:row>
    <x:row r="34" ht="64" customHeight="1">
      <x:c r="A34" s="303" t="str">
        <x:v>Wexner Investment Company</x:v>
      </x:c>
      <x:c r="B34" s="303" t="str">
        <x:v>Wexner Investment Co.</x:v>
      </x:c>
      <x:c r="C34" s="303" t="str">
        <x:v>Ohio for-profit corporation / operational hub candidate</x:v>
      </x:c>
      <x:c r="D34" s="303" t="str">
        <x:v>Ohio</x:v>
      </x:c>
      <x:c r="E34" s="303" t="str">
        <x:v>715158</x:v>
      </x:c>
      <x:c r="F34" s="303" t="str">
        <x:v>dead / dissolved</x:v>
      </x:c>
      <x:c r="G34" s="303" t="str">
        <x:v>Suite 3710, 41 South High Street, Columbus, OH 43215</x:v>
      </x:c>
      <x:c r="H34" s="303" t="str">
        <x:v>No parcel or deed verified</x:v>
      </x:c>
      <x:c r="I34" s="303" t="str">
        <x:v>No Epstein role appears in the reviewed 1994 dissolution; any earlier role remains unverified</x:v>
      </x:c>
      <x:c r="J34" s="303" t="str">
        <x:v>Wexner was the listed director; company supplied the common officer mailing address for multiple entities</x:v>
      </x:c>
      <x:c r="K34" s="303" t="str">
        <x:v>1987-1994</x:v>
      </x:c>
      <x:c r="L34" s="303" t="str">
        <x:v>primary terminal packet reviewed; earlier-role claim unresolved</x:v>
      </x:c>
      <x:c r="M34" s="303" t="str">
        <x:v>Dissolved 1994-12-29</x:v>
      </x:c>
      <x:c r="N34" s="303" t="str">
        <x:v>primary terminal negative / earlier filing follow-up</x:v>
      </x:c>
      <x:c r="O34" s="303" t="str">
        <x:v>G299_0512; H703_1588; 5028_0684</x:v>
      </x:c>
      <x:c r="P34" s="303" t="str">
        <x:v>Outside the Snow export. The dissolution lists Peggy Ugland as vice president, Jeffrey J. Smith as secretary, and Robert S. Schwartz as statutory agent, but no Epstein; review articles and earlier corporate records before accepting a historical officer claim.</x:v>
      </x:c>
    </x:row>
    <x:row r="35" ht="64" customHeight="1">
      <x:c r="A35" s="303" t="str">
        <x:v>ESPER, INC.</x:v>
      </x:c>
      <x:c r="B35" s="303" t="str">
        <x:v>Esper Inc.; Florida P12512</x:v>
      </x:c>
      <x:c r="C35" s="303" t="str">
        <x:v>Ohio corporation / cross-registry operating-company candidate</x:v>
      </x:c>
      <x:c r="D35" s="303" t="str">
        <x:v>Ohio</x:v>
      </x:c>
      <x:c r="E35" s="303" t="str">
        <x:v>686166</x:v>
      </x:c>
      <x:c r="F35" s="303" t="str">
        <x:v>dead / dissolved</x:v>
      </x:c>
      <x:c r="G35" s="303" t="str">
        <x:v>41 South High St., Suite 3710, Columbus, OH 43215</x:v>
      </x:c>
      <x:c r="H35" s="303" t="str">
        <x:v>No parcel or real-property instrument verified</x:v>
      </x:c>
      <x:c r="I35" s="303" t="str">
        <x:v>No Epstein role appears in the available exact-charter packets</x:v>
      </x:c>
      <x:c r="J35" s="303" t="str">
        <x:v>Address and officer group overlap the verified Wexner corporate-administration orbit; no direct Wexner role in the packets</x:v>
      </x:c>
      <x:c r="K35" s="303" t="str">
        <x:v>1986-1988</x:v>
      </x:c>
      <x:c r="L35" s="303" t="str">
        <x:v>primary Ohio images confirmed; Florida identity is high-confidence synthesis</x:v>
      </x:c>
      <x:c r="M35" s="303" t="str">
        <x:v>Dissolved 1988-02-29; two Ohio history images unavailable</x:v>
      </x:c>
      <x:c r="N35" s="303" t="str">
        <x:v>cross-registry network candidate</x:v>
      </x:c>
      <x:c r="O35" s="303" t="str">
        <x:v>G011_0438; G343_1665; SUNBIZ:P12512; FINDING:14567</x:v>
      </x:c>
      <x:c r="P35" s="303" t="str">
        <x:v>Florida P12512 repeats Ohio formation, the Suite 3710 address, and Levin/Campbell/Kessler/McCoy, but does not print Ohio charter 686166. CT Corporation's Florida agent address is not evidence of Plantation operations.</x:v>
      </x:c>
    </x:row>
    <x:row r="36" ht="64" customHeight="1">
      <x:c r="A36" s="303" t="str">
        <x:v>Northeast Franklin Company, Inc.</x:v>
      </x:c>
      <x:c r="B36" s="303" t="str">
        <x:v>Northeast Franklin Company Inc.</x:v>
      </x:c>
      <x:c r="C36" s="303" t="str">
        <x:v>Ohio corporation / administrative-cluster candidate</x:v>
      </x:c>
      <x:c r="D36" s="303" t="str">
        <x:v>Ohio</x:v>
      </x:c>
      <x:c r="E36" s="303" t="str">
        <x:v>710453</x:v>
      </x:c>
      <x:c r="F36" s="303" t="str">
        <x:v>dead / dissolved</x:v>
      </x:c>
      <x:c r="G36" s="303" t="str">
        <x:v>475 Metro Place North, Dublin; later 41 S High St., 23rd Floor, Columbus</x:v>
      </x:c>
      <x:c r="H36" s="303" t="str">
        <x:v>No parcel or deed verified</x:v>
      </x:c>
      <x:c r="I36" s="303" t="str">
        <x:v>No Epstein role appears in the complete available packets</x:v>
      </x:c>
      <x:c r="J36" s="303" t="str">
        <x:v>No Wexner role appears in the complete available packets</x:v>
      </x:c>
      <x:c r="K36" s="303" t="str">
        <x:v>1987-1988</x:v>
      </x:c>
      <x:c r="L36" s="303" t="str">
        <x:v>primary Ohio articles and dissolution images confirmed</x:v>
      </x:c>
      <x:c r="M36" s="303" t="str">
        <x:v>Dissolved 1988-12-28; sole shareholder unnamed</x:v>
      </x:c>
      <x:c r="N36" s="303" t="str">
        <x:v>bounded filing negative / property follow-up</x:v>
      </x:c>
      <x:c r="O36" s="303" t="str">
        <x:v>G255_1344;G532_1162;FINDING:14572;OH-SOS:728764:G532_0974</x:v>
      </x:c>
      <x:c r="P36" s="303" t="str">
        <x:v>Snow appears directly as secretary/director, not proven agent, in the linked dissolution packet. Common law-firm administration does not establish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37" ht="64" customHeight="1">
      <x:c r="A37" s="303" t="str">
        <x:v>New Albany Properties, Inc.</x:v>
      </x:c>
      <x:c r="B37" s="303" t="str">
        <x:v>New Albany Properties Inc.; Ohio 710695</x:v>
      </x:c>
      <x:c r="C37" s="303" t="str">
        <x:v>Ohio corporation / name-led property candidate</x:v>
      </x:c>
      <x:c r="D37" s="303" t="str">
        <x:v>Ohio</x:v>
      </x:c>
      <x:c r="E37" s="303" t="str">
        <x:v>710695</x:v>
      </x:c>
      <x:c r="F37" s="303" t="str">
        <x:v>dead / dissolved</x:v>
      </x:c>
      <x:c r="G37" s="303" t="str">
        <x:v>475 Metro Place North, Dublin; later 41 S High St., 23rd Floor, Columbus</x:v>
      </x:c>
      <x:c r="H37" s="303" t="str">
        <x:v>No parcel or deed verified</x:v>
      </x:c>
      <x:c r="I37" s="303" t="str">
        <x:v>No Epstein role appears in the complete available packets</x:v>
      </x:c>
      <x:c r="J37" s="303" t="str">
        <x:v>No Wexner role appears in the complete available packets</x:v>
      </x:c>
      <x:c r="K37" s="303" t="str">
        <x:v>1987-1988</x:v>
      </x:c>
      <x:c r="L37" s="303" t="str">
        <x:v>primary Ohio articles and dissolution images confirmed</x:v>
      </x:c>
      <x:c r="M37" s="303" t="str">
        <x:v>Dissolved 1988-12-28; sole shareholder unnamed</x:v>
      </x:c>
      <x:c r="N37" s="303" t="str">
        <x:v>identity-guardrail / property follow-up</x:v>
      </x:c>
      <x:c r="O37" s="303" t="str">
        <x:v>G257_1502;G532_1150;FINDING:14573;OH-SOS:728764:G532_0974</x:v>
      </x:c>
      <x:c r="P37" s="303" t="str">
        <x:v>Legally distinct from N.A. Property, Inc., Ohio 832364. Common name and counsel are leads only; the no-personal-property affidavit does not address real estate. Argotron G532_0974 p.7 establishes inclusion in a 46-company administrative dissolution batch; it does not establish common ownership, common control, a shared property portfolio, or beneficial ownership.</x:v>
      </x:c>
    </x:row>
    <x:row r="38" ht="64" customHeight="1">
      <x:c r="A38" s="303" t="str">
        <x:v>New Albany Cardinal Associates, Inc.</x:v>
      </x:c>
      <x:c r="B38" s="303" t="str">
        <x:v>New Albany Cardinal Associates Inc.</x:v>
      </x:c>
      <x:c r="C38" s="303" t="str">
        <x:v>Ohio corporation / verified merger predecessor</x:v>
      </x:c>
      <x:c r="D38" s="303" t="str">
        <x:v>Ohio</x:v>
      </x:c>
      <x:c r="E38" s="303" t="str">
        <x:v>749169</x:v>
      </x:c>
      <x:c r="F38" s="303" t="str">
        <x:v>dead / merged out</x:v>
      </x:c>
      <x:c r="G38" s="303" t="str">
        <x:v>41 S High St., Columbus; MEX status returned to 5906 E Dublin-Granville Rd., New Albany</x:v>
      </x:c>
      <x:c r="H38" s="303" t="str">
        <x:v>No parcel or deed verified</x:v>
      </x:c>
      <x:c r="I38" s="303" t="str">
        <x:v>No Epstein role appears in the available exact-charter or merger packets</x:v>
      </x:c>
      <x:c r="J38" s="303" t="str">
        <x:v>New Albany Company received the processing document but was not a named merger constituent</x:v>
      </x:c>
      <x:c r="K38" s="303" t="str">
        <x:v>1989-1995</x:v>
      </x:c>
      <x:c r="L38" s="303" t="str">
        <x:v>primary available Ohio images and substantive merger certificate confirmed</x:v>
      </x:c>
      <x:c r="M38" s="303" t="str">
        <x:v>Merged into Eastern Ohio Holding Company 1995-12-29; two earlier history images unavailable</x:v>
      </x:c>
      <x:c r="N38" s="303" t="str">
        <x:v>confirmed successor-aware property pivot</x:v>
      </x:c>
      <x:c r="O38" s="303" t="str">
        <x:v>G621_0906;5422_1190;5422_1201;FINDING:14571;FINDING:14646</x:v>
      </x:c>
      <x:c r="P38" s="303" t="str">
        <x:v>The substantive certificate, not the return block, proves the Eastern Ohio edge. Search Cardinal through the merger date and Eastern Ohio afterward.</x:v>
      </x:c>
    </x:row>
    <x:row r="39" ht="64" customHeight="1">
      <x:c r="A39" s="303" t="str">
        <x:v>Autumn Acres, Inc.</x:v>
      </x:c>
      <x:c r="B39" s="303" t="str">
        <x:v>Autumn Acres Inc.; Ohio 706250</x:v>
      </x:c>
      <x:c r="C39" s="303" t="str">
        <x:v>Ohio corporation / merger survivor and property-successor candidate</x:v>
      </x:c>
      <x:c r="D39" s="303" t="str">
        <x:v>Ohio</x:v>
      </x:c>
      <x:c r="E39" s="303" t="str">
        <x:v>706250</x:v>
      </x:c>
      <x:c r="F39" s="303" t="str">
        <x:v>dead / dissolved</x:v>
      </x:c>
      <x:c r="G39" s="303" t="str">
        <x:v>41 S High St., Suite 2300, Columbus, OH 43215</x:v>
      </x:c>
      <x:c r="H39" s="303" t="str">
        <x:v>No parcel or deed verified; generic merger succession only</x:v>
      </x:c>
      <x:c r="I39" s="303" t="str">
        <x:v>No Epstein role appears in the reviewed articles or merger packet</x:v>
      </x:c>
      <x:c r="J39" s="303" t="str">
        <x:v>No Wexner role appears in the reviewed articles or merger packet</x:v>
      </x:c>
      <x:c r="K39" s="303" t="str">
        <x:v>1987-1990</x:v>
      </x:c>
      <x:c r="L39" s="303" t="str">
        <x:v>primary Ohio articles and merger images confirmed; next-day dissolution image unavailable</x:v>
      </x:c>
      <x:c r="M39" s="303" t="str">
        <x:v>Survived seven-company merger 1990-12-28; portal shows dissolution 1990-12-29</x:v>
      </x:c>
      <x:c r="N39" s="303" t="str">
        <x:v>high-priority successor and disposition pivot</x:v>
      </x:c>
      <x:c r="O39" s="303" t="str">
        <x:v>G290_1405; H052_1482; G052_1517; FINDING:14575</x:v>
      </x:c>
      <x:c r="P39" s="303" t="str">
        <x:v>Any predecessor property vested in Autumn by operation of law. The unavailable next-day dissolution prevents identifying the ultimate asset recipient.</x:v>
      </x:c>
    </x:row>
    <x:row r="40" ht="64" customHeight="1">
      <x:c r="A40" s="303" t="str">
        <x:v>Blackford Investments, Inc.</x:v>
      </x:c>
      <x:c r="B40" s="303" t="str">
        <x:v>Blackford Investments Inc.; Ohio 709782</x:v>
      </x:c>
      <x:c r="C40" s="303" t="str">
        <x:v>Ohio corporation / investment-name property candidate</x:v>
      </x:c>
      <x:c r="D40" s="303" t="str">
        <x:v>Ohio</x:v>
      </x:c>
      <x:c r="E40" s="303" t="str">
        <x:v>709782</x:v>
      </x:c>
      <x:c r="F40" s="303" t="str">
        <x:v>dead / dissolved</x:v>
      </x:c>
      <x:c r="G40" s="303" t="str">
        <x:v>41 S High St., Suite 2300 and later 23rd Floor, Columbus, OH 43215</x:v>
      </x:c>
      <x:c r="H40" s="303" t="str">
        <x:v>No parcel or deed verified</x:v>
      </x:c>
      <x:c r="I40" s="303" t="str">
        <x:v>No Epstein role appears in the complete articles and dissolution packets</x:v>
      </x:c>
      <x:c r="J40" s="303" t="str">
        <x:v>No Wexner role appears in the complete articles and dissolution packets</x:v>
      </x:c>
      <x:c r="K40" s="303" t="str">
        <x:v>1987-1988</x:v>
      </x:c>
      <x:c r="L40" s="303" t="str">
        <x:v>primary Ohio images confirmed</x:v>
      </x:c>
      <x:c r="M40" s="303" t="str">
        <x:v>Dissolved 1988-12-28; sole shareholder unnamed</x:v>
      </x:c>
      <x:c r="N40" s="303" t="str">
        <x:v>bounded filing negative / property follow-up</x:v>
      </x:c>
      <x:c r="O40" s="303" t="str">
        <x:v>G290_1412;G532_0982;FINDING:14576;OH-SOS:728764:G532_0974</x:v>
      </x:c>
      <x:c r="P40" s="303" t="str">
        <x:v>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41" ht="64" customHeight="1">
      <x:c r="A41" s="303" t="str">
        <x:v>Blendon Farms, Inc.</x:v>
      </x:c>
      <x:c r="B41" s="303" t="str">
        <x:v>Blendon Farms Inc.; Ohio 711268</x:v>
      </x:c>
      <x:c r="C41" s="303" t="str">
        <x:v>Ohio corporation / land-name property candidate</x:v>
      </x:c>
      <x:c r="D41" s="303" t="str">
        <x:v>Ohio</x:v>
      </x:c>
      <x:c r="E41" s="303" t="str">
        <x:v>711268</x:v>
      </x:c>
      <x:c r="F41" s="303" t="str">
        <x:v>dead / dissolved</x:v>
      </x:c>
      <x:c r="G41" s="303" t="str">
        <x:v>41 S High St., Suite 2300 and later 23rd Floor, Columbus, OH 43215</x:v>
      </x:c>
      <x:c r="H41" s="303" t="str">
        <x:v>No parcel or deed verified</x:v>
      </x:c>
      <x:c r="I41" s="303" t="str">
        <x:v>No Epstein role appears in the complete articles and dissolution packets</x:v>
      </x:c>
      <x:c r="J41" s="303" t="str">
        <x:v>No Wexner role appears in the complete articles and dissolution packets</x:v>
      </x:c>
      <x:c r="K41" s="303" t="str">
        <x:v>1987-1988</x:v>
      </x:c>
      <x:c r="L41" s="303" t="str">
        <x:v>primary Ohio images confirmed</x:v>
      </x:c>
      <x:c r="M41" s="303" t="str">
        <x:v>Dissolved 1988-12-28; sole shareholder unnamed</x:v>
      </x:c>
      <x:c r="N41" s="303" t="str">
        <x:v>bounded filing negative / property follow-up</x:v>
      </x:c>
      <x:c r="O41" s="303" t="str">
        <x:v>G290_1424;G532_0988;FINDING:14576;OH-SOS:728764:G532_0974</x:v>
      </x:c>
      <x:c r="P41" s="303" t="str">
        <x:v>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42" ht="64" customHeight="1">
      <x:c r="A42" s="303" t="str">
        <x:v>Harlem Investment Corporation</x:v>
      </x:c>
      <x:c r="B42" s="303" t="str">
        <x:v>Harlem Investment Corp.; Ohio 712106</x:v>
      </x:c>
      <x:c r="C42" s="303" t="str">
        <x:v>Ohio corporation / investment-name property candidate</x:v>
      </x:c>
      <x:c r="D42" s="303" t="str">
        <x:v>Ohio</x:v>
      </x:c>
      <x:c r="E42" s="303" t="str">
        <x:v>712106</x:v>
      </x:c>
      <x:c r="F42" s="303" t="str">
        <x:v>dead / dissolved</x:v>
      </x:c>
      <x:c r="G42" s="303" t="str">
        <x:v>41 S High St., Suite 2300 and later 23rd Floor, Columbus, OH 43215</x:v>
      </x:c>
      <x:c r="H42" s="303" t="str">
        <x:v>No parcel or deed verified</x:v>
      </x:c>
      <x:c r="I42" s="303" t="str">
        <x:v>No Epstein role appears in the complete articles and dissolution packets</x:v>
      </x:c>
      <x:c r="J42" s="303" t="str">
        <x:v>No Wexner role appears in the complete articles and dissolution packets</x:v>
      </x:c>
      <x:c r="K42" s="303" t="str">
        <x:v>1987-1988</x:v>
      </x:c>
      <x:c r="L42" s="303" t="str">
        <x:v>primary Ohio images confirmed</x:v>
      </x:c>
      <x:c r="M42" s="303" t="str">
        <x:v>Dissolved 1988-12-28; sole shareholder unnamed</x:v>
      </x:c>
      <x:c r="N42" s="303" t="str">
        <x:v>bounded filing negative / property follow-up</x:v>
      </x:c>
      <x:c r="O42" s="303" t="str">
        <x:v>G290_1430;G532_1096;FINDING:14576;OH-SOS:728764:G532_0974</x:v>
      </x:c>
      <x:c r="P42" s="303" t="str">
        <x:v>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43" ht="64" customHeight="1">
      <x:c r="A43" s="303" t="str">
        <x:v>Ivy Hearth Properties, Inc.</x:v>
      </x:c>
      <x:c r="B43" s="303" t="str">
        <x:v>Ivy Hearth Properties Inc.; Ohio 712170</x:v>
      </x:c>
      <x:c r="C43" s="303" t="str">
        <x:v>Ohio corporation / property-name candidate</x:v>
      </x:c>
      <x:c r="D43" s="303" t="str">
        <x:v>Ohio</x:v>
      </x:c>
      <x:c r="E43" s="303" t="str">
        <x:v>712170</x:v>
      </x:c>
      <x:c r="F43" s="303" t="str">
        <x:v>dead / dissolved</x:v>
      </x:c>
      <x:c r="G43" s="303" t="str">
        <x:v>41 S High St., Suite 2300 and later 23rd Floor, Columbus, OH 43215</x:v>
      </x:c>
      <x:c r="H43" s="303" t="str">
        <x:v>No parcel or deed verified</x:v>
      </x:c>
      <x:c r="I43" s="303" t="str">
        <x:v>No Epstein role appears in the complete articles and dissolution packets</x:v>
      </x:c>
      <x:c r="J43" s="303" t="str">
        <x:v>No Wexner role appears in the complete articles and dissolution packets</x:v>
      </x:c>
      <x:c r="K43" s="303" t="str">
        <x:v>1987-1988</x:v>
      </x:c>
      <x:c r="L43" s="303" t="str">
        <x:v>primary Ohio images confirmed</x:v>
      </x:c>
      <x:c r="M43" s="303" t="str">
        <x:v>Dissolved 1988-12-28; sole shareholder unnamed</x:v>
      </x:c>
      <x:c r="N43" s="303" t="str">
        <x:v>bounded filing negative / property follow-up</x:v>
      </x:c>
      <x:c r="O43" s="303" t="str">
        <x:v>G290_1436;G532_1108;FINDING:14576;OH-SOS:728764:G532_0974</x:v>
      </x:c>
      <x:c r="P43" s="303" t="str">
        <x:v>Law-firm officers and directors do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44" ht="64" customHeight="1">
      <x:c r="A44" s="303" t="str">
        <x:v>Rockyriver Properties, Inc.</x:v>
      </x:c>
      <x:c r="B44" s="303" t="str">
        <x:v>Rockyriver Properties Inc.; Ohio 712441</x:v>
      </x:c>
      <x:c r="C44" s="303" t="str">
        <x:v>Ohio corporation / property-name candidate</x:v>
      </x:c>
      <x:c r="D44" s="303" t="str">
        <x:v>Ohio</x:v>
      </x:c>
      <x:c r="E44" s="303" t="str">
        <x:v>712441</x:v>
      </x:c>
      <x:c r="F44" s="303" t="str">
        <x:v>dead / dissolved</x:v>
      </x:c>
      <x:c r="G44" s="303" t="str">
        <x:v>41 S High St., Suite 2300 and later 23rd Floor, Columbus, OH 43215</x:v>
      </x:c>
      <x:c r="H44" s="303" t="str">
        <x:v>No parcel or deed verified</x:v>
      </x:c>
      <x:c r="I44" s="303" t="str">
        <x:v>No Epstein role appears in the complete articles and dissolution packets</x:v>
      </x:c>
      <x:c r="J44" s="303" t="str">
        <x:v>No Wexner role appears in the complete articles and dissolution packets</x:v>
      </x:c>
      <x:c r="K44" s="303" t="str">
        <x:v>1987-1988</x:v>
      </x:c>
      <x:c r="L44" s="303" t="str">
        <x:v>primary Ohio images confirmed</x:v>
      </x:c>
      <x:c r="M44" s="303" t="str">
        <x:v>Dissolved 1988-12-28; sole shareholder unnamed</x:v>
      </x:c>
      <x:c r="N44" s="303" t="str">
        <x:v>bounded filing negative / property follow-up</x:v>
      </x:c>
      <x:c r="O44" s="303" t="str">
        <x:v>G290_1454;G532_1210;FINDING:14576;OH-SOS:728764:G532_0974</x:v>
      </x:c>
      <x:c r="P44" s="303" t="str">
        <x:v>The dissolution scan is out of page order but complete. The no-personal-property affidavit does not address real estate. Argotron G532_0974 p.7 establishes inclusion in a 46-company administrative dissolution batch; it does not establish common ownership, common control, a shared property portfolio, or beneficial ownership.</x:v>
      </x:c>
    </x:row>
    <x:row r="45" ht="64" customHeight="1">
      <x:c r="A45" s="303" t="str">
        <x:v>Deerfield Meadows, Inc.</x:v>
      </x:c>
      <x:c r="B45" s="303" t="str">
        <x:v>Deerfield Meadows Inc.; Ohio 714676</x:v>
      </x:c>
      <x:c r="C45" s="303" t="str">
        <x:v>Ohio corporation / merged land-name candidate</x:v>
      </x:c>
      <x:c r="D45" s="303" t="str">
        <x:v>Ohio</x:v>
      </x:c>
      <x:c r="E45" s="303" t="str">
        <x:v>714676</x:v>
      </x:c>
      <x:c r="F45" s="303" t="str">
        <x:v>dead / merged out</x:v>
      </x:c>
      <x:c r="G45" s="303" t="str">
        <x:v>41 S High St., Suite 2300, Columbus, OH 43215</x:v>
      </x:c>
      <x:c r="H45" s="303" t="str">
        <x:v>No parcel or deed verified; generic merger succession only</x:v>
      </x:c>
      <x:c r="I45" s="303" t="str">
        <x:v>No Epstein role appears in the reviewed articles, merger, or MEX packets</x:v>
      </x:c>
      <x:c r="J45" s="303" t="str">
        <x:v>No Wexner role appears in the reviewed articles, merger, or MEX packets</x:v>
      </x:c>
      <x:c r="K45" s="303" t="str">
        <x:v>1987-1990</x:v>
      </x:c>
      <x:c r="L45" s="303" t="str">
        <x:v>primary Ohio images confirmed</x:v>
      </x:c>
      <x:c r="M45" s="303" t="str">
        <x:v>Merged into Autumn Acres 1990-12-28; sole shareholder unnamed</x:v>
      </x:c>
      <x:c r="N45" s="303" t="str">
        <x:v>successor-chain property pivot</x:v>
      </x:c>
      <x:c r="O45" s="303" t="str">
        <x:v>G294_1118; H052_1482; H052_1489; FINDING:14575</x:v>
      </x:c>
      <x:c r="P45" s="303" t="str">
        <x:v>Search the predecessor through the merger date and Autumn Acres afterward; the filings identify no actual parcel.</x:v>
      </x:c>
    </x:row>
    <x:row r="46" ht="64" customHeight="1">
      <x:c r="A46" s="303" t="str">
        <x:v>Landes Management Corporation</x:v>
      </x:c>
      <x:c r="B46" s="303" t="str">
        <x:v>Landes Management Corp.; Ohio 724617</x:v>
      </x:c>
      <x:c r="C46" s="303" t="str">
        <x:v>Ohio corporation / merged management and property-successor candidate</x:v>
      </x:c>
      <x:c r="D46" s="303" t="str">
        <x:v>Ohio</x:v>
      </x:c>
      <x:c r="E46" s="303" t="str">
        <x:v>724617</x:v>
      </x:c>
      <x:c r="F46" s="303" t="str">
        <x:v>dead / merged out</x:v>
      </x:c>
      <x:c r="G46" s="303" t="str">
        <x:v>41 S High St., Suite 2300, Columbus, OH 43215</x:v>
      </x:c>
      <x:c r="H46" s="303" t="str">
        <x:v>No parcel or deed verified; generic merger succession only</x:v>
      </x:c>
      <x:c r="I46" s="303" t="str">
        <x:v>No Epstein role appears in the reviewed articles, merger, or MEX packets</x:v>
      </x:c>
      <x:c r="J46" s="303" t="str">
        <x:v>No Wexner role appears in the reviewed articles, merger, or MEX packets</x:v>
      </x:c>
      <x:c r="K46" s="303" t="str">
        <x:v>1988-1990</x:v>
      </x:c>
      <x:c r="L46" s="303" t="str">
        <x:v>primary Ohio images confirmed</x:v>
      </x:c>
      <x:c r="M46" s="303" t="str">
        <x:v>Merged into Autumn Acres 1990-12-28; sole shareholder unnamed</x:v>
      </x:c>
      <x:c r="N46" s="303" t="str">
        <x:v>successor-chain property pivot</x:v>
      </x:c>
      <x:c r="O46" s="303" t="str">
        <x:v>G379_0229; H052_1482; H052_1492; FINDING:14575</x:v>
      </x:c>
      <x:c r="P46" s="303" t="str">
        <x:v>Search the predecessor through the merger date and Autumn Acres afterward; the filings identify no actual parcel.</x:v>
      </x:c>
    </x:row>
    <x:row r="47" ht="64" customHeight="1">
      <x:c r="A47" s="303" t="str">
        <x:v>Maycor Incorporated</x:v>
      </x:c>
      <x:c r="B47" s="303" t="str">
        <x:v>Maycor Inc.; Ohio 724618</x:v>
      </x:c>
      <x:c r="C47" s="303" t="str">
        <x:v>Ohio corporation / merged administrative candidate</x:v>
      </x:c>
      <x:c r="D47" s="303" t="str">
        <x:v>Ohio</x:v>
      </x:c>
      <x:c r="E47" s="303" t="str">
        <x:v>724618</x:v>
      </x:c>
      <x:c r="F47" s="303" t="str">
        <x:v>dead / merged out</x:v>
      </x:c>
      <x:c r="G47" s="303" t="str">
        <x:v>41 S High St., Suite 2300, Columbus, OH 43215</x:v>
      </x:c>
      <x:c r="H47" s="303" t="str">
        <x:v>No parcel or deed verified; generic merger succession only</x:v>
      </x:c>
      <x:c r="I47" s="303" t="str">
        <x:v>No Epstein role appears in the reviewed articles, merger, or MEX packets</x:v>
      </x:c>
      <x:c r="J47" s="303" t="str">
        <x:v>No Wexner role appears in the reviewed articles, merger, or MEX packets</x:v>
      </x:c>
      <x:c r="K47" s="303" t="str">
        <x:v>1988-1990</x:v>
      </x:c>
      <x:c r="L47" s="303" t="str">
        <x:v>primary Ohio images confirmed</x:v>
      </x:c>
      <x:c r="M47" s="303" t="str">
        <x:v>Merged into Autumn Acres 1990-12-28; sole shareholder unnamed</x:v>
      </x:c>
      <x:c r="N47" s="303" t="str">
        <x:v>successor-chain property pivot</x:v>
      </x:c>
      <x:c r="O47" s="303" t="str">
        <x:v>G379_0235; H052_1482; H052_1495; FINDING:14575</x:v>
      </x:c>
      <x:c r="P47" s="303" t="str">
        <x:v>Search the predecessor through the merger date and Autumn Acres afterward; the filings identify no actual parcel.</x:v>
      </x:c>
    </x:row>
    <x:row r="48" ht="64" customHeight="1">
      <x:c r="A48" s="303" t="str">
        <x:v>New Albany 74, Inc.</x:v>
      </x:c>
      <x:c r="B48" s="303" t="str">
        <x:v>New Albany 84, Inc.; New Albany 74 Inc.; Ohio 698295</x:v>
      </x:c>
      <x:c r="C48" s="303" t="str">
        <x:v>Ohio corporation / renamed New Albany land-assembly candidate</x:v>
      </x:c>
      <x:c r="D48" s="303" t="str">
        <x:v>Ohio</x:v>
      </x:c>
      <x:c r="E48" s="303" t="str">
        <x:v>698295</x:v>
      </x:c>
      <x:c r="F48" s="303" t="str">
        <x:v>dead / merged out</x:v>
      </x:c>
      <x:c r="G48" s="303" t="str">
        <x:v>475 Metro Place North, Suite 200, Dublin, OH 43017-1374; SKWR filing route</x:v>
      </x:c>
      <x:c r="H48" s="303" t="str">
        <x:v>No parcel or deed verified; generic merger succession only</x:v>
      </x:c>
      <x:c r="I48" s="303" t="str">
        <x:v>No Epstein role appears in the reviewed formation, amendment, merger, or MEX packets</x:v>
      </x:c>
      <x:c r="J48" s="303" t="str">
        <x:v>No Wexner role appears in the reviewed formation, amendment, merger, or MEX packets</x:v>
      </x:c>
      <x:c r="K48" s="303" t="str">
        <x:v>1987-1990</x:v>
      </x:c>
      <x:c r="L48" s="303" t="str">
        <x:v>primary Ohio images confirmed</x:v>
      </x:c>
      <x:c r="M48" s="303" t="str">
        <x:v>Renamed from New Albany 84 on 1987-04-16; merged into Autumn Acres 1990-12-28</x:v>
      </x:c>
      <x:c r="N48" s="303" t="str">
        <x:v>high-priority alias and successor property pivot</x:v>
      </x:c>
      <x:c r="O48" s="303" t="str">
        <x:v>G131_1185; G148_0780; H052_1482; H052_1498; FINDING:14575; FINDING:14577</x:v>
      </x:c>
      <x:c r="P48" s="303" t="str">
        <x:v>One charter, not two entities. Search both names before the merger and Autumn Acres after it; unnamed shareholders do not establish beneficial ownership.</x:v>
      </x:c>
    </x:row>
    <x:row r="49" ht="64" customHeight="1">
      <x:c r="A49" s="303" t="str">
        <x:v>129 Associates, Inc.</x:v>
      </x:c>
      <x:c r="B49" s="303" t="str">
        <x:v>129 Associates Inc.; Ohio 698296</x:v>
      </x:c>
      <x:c r="C49" s="303" t="str">
        <x:v>Ohio corporation / merged property candidate</x:v>
      </x:c>
      <x:c r="D49" s="303" t="str">
        <x:v>Ohio</x:v>
      </x:c>
      <x:c r="E49" s="303" t="str">
        <x:v>698296</x:v>
      </x:c>
      <x:c r="F49" s="303" t="str">
        <x:v>dead / merged out</x:v>
      </x:c>
      <x:c r="G49" s="303" t="str">
        <x:v>475 Metro Place North, Suite 200, Dublin, OH 43017-1374; SKWR filing route</x:v>
      </x:c>
      <x:c r="H49" s="303" t="str">
        <x:v>No parcel or deed verified; generic merger succession only</x:v>
      </x:c>
      <x:c r="I49" s="303" t="str">
        <x:v>No Epstein role appears in the reviewed articles, merger, or MEX packets</x:v>
      </x:c>
      <x:c r="J49" s="303" t="str">
        <x:v>No Wexner role appears in the reviewed articles, merger, or MEX packets</x:v>
      </x:c>
      <x:c r="K49" s="303" t="str">
        <x:v>1987-1990</x:v>
      </x:c>
      <x:c r="L49" s="303" t="str">
        <x:v>primary Ohio images confirmed</x:v>
      </x:c>
      <x:c r="M49" s="303" t="str">
        <x:v>Merged into Autumn Acres 1990-12-28; sole shareholder unnamed</x:v>
      </x:c>
      <x:c r="N49" s="303" t="str">
        <x:v>successor-chain property pivot</x:v>
      </x:c>
      <x:c r="O49" s="303" t="str">
        <x:v>G131_1191; H052_1482; H052_1501; FINDING:14575</x:v>
      </x:c>
      <x:c r="P49" s="303" t="str">
        <x:v>Sequential charter with New Albany 84/74 supports a formation batch but not common ownership.</x:v>
      </x:c>
    </x:row>
    <x:row r="50" ht="64" customHeight="1">
      <x:c r="A50" s="303" t="str">
        <x:v>Rockyridge Development Corp.</x:v>
      </x:c>
      <x:c r="B50" s="303" t="str">
        <x:v>Rockyridge Development Corporation; Ohio 714669</x:v>
      </x:c>
      <x:c r="C50" s="303" t="str">
        <x:v>Ohio corporation / merged development candidate</x:v>
      </x:c>
      <x:c r="D50" s="303" t="str">
        <x:v>Ohio</x:v>
      </x:c>
      <x:c r="E50" s="303" t="str">
        <x:v>714669</x:v>
      </x:c>
      <x:c r="F50" s="303" t="str">
        <x:v>dead / merged out</x:v>
      </x:c>
      <x:c r="G50" s="303" t="str">
        <x:v>41 S High St., Suite 2300, Columbus, OH 43215</x:v>
      </x:c>
      <x:c r="H50" s="303" t="str">
        <x:v>No parcel or deed verified; generic merger succession only</x:v>
      </x:c>
      <x:c r="I50" s="303" t="str">
        <x:v>No Epstein role appears in the reviewed articles, merger, or MEX packets</x:v>
      </x:c>
      <x:c r="J50" s="303" t="str">
        <x:v>No Wexner role appears in the reviewed articles, merger, or MEX packets</x:v>
      </x:c>
      <x:c r="K50" s="303" t="str">
        <x:v>1987-1990</x:v>
      </x:c>
      <x:c r="L50" s="303" t="str">
        <x:v>primary Ohio images confirmed</x:v>
      </x:c>
      <x:c r="M50" s="303" t="str">
        <x:v>Merged into Autumn Acres 1990-12-28; sole shareholder unnamed</x:v>
      </x:c>
      <x:c r="N50" s="303" t="str">
        <x:v>successor-chain property pivot</x:v>
      </x:c>
      <x:c r="O50" s="303" t="str">
        <x:v>G294_1075; H052_1482; H052_1504; FINDING:14575</x:v>
      </x:c>
      <x:c r="P50" s="303" t="str">
        <x:v>Search the predecessor through the merger date and Autumn Acres afterward; the filings identify no actual parcel.</x:v>
      </x:c>
    </x:row>
    <x:row r="51" ht="64" customHeight="1">
      <x:c r="A51" s="303" t="str">
        <x:v>Tumbleweed Estates, Inc.</x:v>
      </x:c>
      <x:c r="B51" s="303" t="str">
        <x:v>Tumbleweed Estates Inc.; Ohio 714671</x:v>
      </x:c>
      <x:c r="C51" s="303" t="str">
        <x:v>Ohio corporation / merged estate-name candidate</x:v>
      </x:c>
      <x:c r="D51" s="303" t="str">
        <x:v>Ohio</x:v>
      </x:c>
      <x:c r="E51" s="303" t="str">
        <x:v>714671</x:v>
      </x:c>
      <x:c r="F51" s="303" t="str">
        <x:v>dead / merged out</x:v>
      </x:c>
      <x:c r="G51" s="303" t="str">
        <x:v>41 S High St., Suite 2300, Columbus, OH 43215</x:v>
      </x:c>
      <x:c r="H51" s="303" t="str">
        <x:v>No parcel or deed verified; generic merger succession only</x:v>
      </x:c>
      <x:c r="I51" s="303" t="str">
        <x:v>No Epstein role appears in the reviewed articles, merger, or MEX packets</x:v>
      </x:c>
      <x:c r="J51" s="303" t="str">
        <x:v>No Wexner role appears in the reviewed articles, merger, or MEX packets</x:v>
      </x:c>
      <x:c r="K51" s="303" t="str">
        <x:v>1987-1990</x:v>
      </x:c>
      <x:c r="L51" s="303" t="str">
        <x:v>primary Ohio images confirmed</x:v>
      </x:c>
      <x:c r="M51" s="303" t="str">
        <x:v>Merged into Autumn Acres 1990-12-28; sole shareholder unnamed</x:v>
      </x:c>
      <x:c r="N51" s="303" t="str">
        <x:v>successor-chain property pivot</x:v>
      </x:c>
      <x:c r="O51" s="303" t="str">
        <x:v>G294_1088; H052_1482; H052_1507; FINDING:14575</x:v>
      </x:c>
      <x:c r="P51" s="303" t="str">
        <x:v>Search the predecessor through the merger date and Autumn Acres afterward; the filings identify no actual parcel.</x:v>
      </x:c>
    </x:row>
    <x:row r="52" ht="64" customHeight="1">
      <x:c r="A52" s="303" t="str">
        <x:v>Bearce Hollow, Inc.</x:v>
      </x:c>
      <x:c r="B52" s="303" t="str">
        <x:v>Bearce Hollow Inc.; Ohio 689665</x:v>
      </x:c>
      <x:c r="C52" s="303" t="str">
        <x:v>Ohio corporation / merged land-name candidate</x:v>
      </x:c>
      <x:c r="D52" s="303" t="str">
        <x:v>Ohio</x:v>
      </x:c>
      <x:c r="E52" s="303" t="str">
        <x:v>689665</x:v>
      </x:c>
      <x:c r="F52" s="303" t="str">
        <x:v>dead / merged out</x:v>
      </x:c>
      <x:c r="G52" s="303" t="str">
        <x:v>Columbus, Franklin County; SKWR filing and service routes at 41 S High St.</x:v>
      </x:c>
      <x:c r="H52" s="303" t="str">
        <x:v>No parcel or deed verified; any property passed to Rocky Fork in 1987</x:v>
      </x:c>
      <x:c r="I52" s="303" t="str">
        <x:v>No Epstein role appears in the reviewed exact-charter packets</x:v>
      </x:c>
      <x:c r="J52" s="303" t="str">
        <x:v>No Wexner role appears in the reviewed exact-charter packets; Wexner later led survivor Rocky Fork</x:v>
      </x:c>
      <x:c r="K52" s="303" t="str">
        <x:v>1986-1987</x:v>
      </x:c>
      <x:c r="L52" s="303" t="str">
        <x:v>primary Ohio full-history and reciprocal merger images confirmed</x:v>
      </x:c>
      <x:c r="M52" s="303" t="str">
        <x:v>Merged into Rocky Fork Development Corporation 1987-12-31; sole shareholder unnamed</x:v>
      </x:c>
      <x:c r="N52" s="303" t="str">
        <x:v>confirmed network successor and property pivot</x:v>
      </x:c>
      <x:c r="O52" s="303" t="str">
        <x:v>G043_1718; G296_1202; G313_0688; G313_0695; FINDING:14578; FINDING:14565</x:v>
      </x:c>
      <x:c r="P52" s="303" t="str">
        <x:v>All 21 pages were visually reviewed. Snow appears only as statutory agent. The agreement describes a mutual shareholder but names no person; no actual parcel is identified.</x:v>
      </x:c>
    </x:row>
    <x:row r="53" ht="64" customHeight="1">
      <x:c r="A53" s="303" t="str">
        <x:v>Plain Designs, Incorporated</x:v>
      </x:c>
      <x:c r="B53" s="303" t="str">
        <x:v>Plain Designs Inc.; Ohio 713839</x:v>
      </x:c>
      <x:c r="C53" s="303" t="str">
        <x:v>Ohio corporation / agent-date administrative cluster</x:v>
      </x:c>
      <x:c r="D53" s="303" t="str">
        <x:v>Ohio</x:v>
      </x:c>
      <x:c r="E53" s="303" t="str">
        <x:v>713839</x:v>
      </x:c>
      <x:c r="F53" s="303" t="str">
        <x:v>dead / dissolved</x:v>
      </x:c>
      <x:c r="G53" s="303" t="str">
        <x:v>41 S High St., 23rd Floor, Columbus, OH 43215</x:v>
      </x:c>
      <x:c r="H53" s="303" t="str">
        <x:v>No parcel or deed verified</x:v>
      </x:c>
      <x:c r="I53" s="303" t="str">
        <x:v>No Epstein role appears in the complete packets</x:v>
      </x:c>
      <x:c r="J53" s="303" t="str">
        <x:v>No Wexner role appears in the complete packets</x:v>
      </x:c>
      <x:c r="K53" s="303" t="str">
        <x:v>1987-1988</x:v>
      </x:c>
      <x:c r="L53" s="303" t="str">
        <x:v>primary Ohio articles and dissolution images confirmed</x:v>
      </x:c>
      <x:c r="M53" s="303" t="str">
        <x:v>Dissolved 1988-12-28; sole shareholder unnamed</x:v>
      </x:c>
      <x:c r="N53" s="303" t="str">
        <x:v>bounded filing negative / low-priority property search</x:v>
      </x:c>
      <x:c r="O53" s="303" t="str">
        <x:v>G287_0729;G532_1174;FINDING:14574;OH-SOS:728764:G532_0974</x:v>
      </x:c>
      <x:c r="P53" s="303" t="str">
        <x:v>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row>
    <x:row r="54" ht="64" customHeight="1">
      <x:c r="A54" s="303" t="str">
        <x:v>Hareck Enterprises, Inc.</x:v>
      </x:c>
      <x:c r="B54" s="303" t="str">
        <x:v>Hareck Enterprises Inc.; Ohio 713840</x:v>
      </x:c>
      <x:c r="C54" s="303" t="str">
        <x:v>Ohio corporation / agent-date administrative cluster</x:v>
      </x:c>
      <x:c r="D54" s="303" t="str">
        <x:v>Ohio</x:v>
      </x:c>
      <x:c r="E54" s="303" t="str">
        <x:v>713840</x:v>
      </x:c>
      <x:c r="F54" s="303" t="str">
        <x:v>dead / dissolved</x:v>
      </x:c>
      <x:c r="G54" s="303" t="str">
        <x:v>41 S High St., 23rd Floor, Columbus, OH 43215</x:v>
      </x:c>
      <x:c r="H54" s="303" t="str">
        <x:v>No parcel or deed verified</x:v>
      </x:c>
      <x:c r="I54" s="303" t="str">
        <x:v>No Epstein role appears in the complete packets</x:v>
      </x:c>
      <x:c r="J54" s="303" t="str">
        <x:v>No Wexner role appears in the complete packets</x:v>
      </x:c>
      <x:c r="K54" s="303" t="str">
        <x:v>1987-1988</x:v>
      </x:c>
      <x:c r="L54" s="303" t="str">
        <x:v>primary Ohio articles and dissolution images confirmed</x:v>
      </x:c>
      <x:c r="M54" s="303" t="str">
        <x:v>Dissolved 1988-12-28; sole shareholder unnamed</x:v>
      </x:c>
      <x:c r="N54" s="303" t="str">
        <x:v>bounded filing negative / low-priority property search</x:v>
      </x:c>
      <x:c r="O54" s="303" t="str">
        <x:v>G287_0735;G532_1090;FINDING:14574;OH-SOS:728764:G532_0974</x:v>
      </x:c>
      <x:c r="P54" s="303" t="str">
        <x:v>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row>
    <x:row r="55" ht="64" customHeight="1">
      <x:c r="A55" s="303" t="str">
        <x:v>Maplegrove Properties, Inc.</x:v>
      </x:c>
      <x:c r="B55" s="303" t="str">
        <x:v>Maplegrove Properties Inc.; Ohio 713841</x:v>
      </x:c>
      <x:c r="C55" s="303" t="str">
        <x:v>Ohio corporation / name-led property candidate</x:v>
      </x:c>
      <x:c r="D55" s="303" t="str">
        <x:v>Ohio</x:v>
      </x:c>
      <x:c r="E55" s="303" t="str">
        <x:v>713841</x:v>
      </x:c>
      <x:c r="F55" s="303" t="str">
        <x:v>dead / dissolved</x:v>
      </x:c>
      <x:c r="G55" s="303" t="str">
        <x:v>41 S High St., 23rd Floor, Columbus, OH 43215</x:v>
      </x:c>
      <x:c r="H55" s="303" t="str">
        <x:v>No parcel or deed verified</x:v>
      </x:c>
      <x:c r="I55" s="303" t="str">
        <x:v>No Epstein role appears in the complete packets</x:v>
      </x:c>
      <x:c r="J55" s="303" t="str">
        <x:v>No Wexner role appears in the complete packets</x:v>
      </x:c>
      <x:c r="K55" s="303" t="str">
        <x:v>1987-1988</x:v>
      </x:c>
      <x:c r="L55" s="303" t="str">
        <x:v>primary Ohio articles and dissolution images confirmed</x:v>
      </x:c>
      <x:c r="M55" s="303" t="str">
        <x:v>Dissolved 1988-12-28; sole shareholder unnamed</x:v>
      </x:c>
      <x:c r="N55" s="303" t="str">
        <x:v>bounded filing negative / property search</x:v>
      </x:c>
      <x:c r="O55" s="303" t="str">
        <x:v>G287_0741;G532_1132;FINDING:14574;OH-SOS:728764:G532_0974</x:v>
      </x:c>
      <x:c r="P55" s="303" t="str">
        <x:v>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row>
    <x:row r="56" ht="64" customHeight="1">
      <x:c r="A56" s="303" t="str">
        <x:v>Redwood Stables, Inc.</x:v>
      </x:c>
      <x:c r="B56" s="303" t="str">
        <x:v>Redwood Stables Inc.; Ohio 713842</x:v>
      </x:c>
      <x:c r="C56" s="303" t="str">
        <x:v>Ohio corporation / name-led property candidate</x:v>
      </x:c>
      <x:c r="D56" s="303" t="str">
        <x:v>Ohio</x:v>
      </x:c>
      <x:c r="E56" s="303" t="str">
        <x:v>713842</x:v>
      </x:c>
      <x:c r="F56" s="303" t="str">
        <x:v>dead / dissolved</x:v>
      </x:c>
      <x:c r="G56" s="303" t="str">
        <x:v>41 S High St., 23rd Floor, Columbus, OH 43215</x:v>
      </x:c>
      <x:c r="H56" s="303" t="str">
        <x:v>No parcel or deed verified</x:v>
      </x:c>
      <x:c r="I56" s="303" t="str">
        <x:v>No Epstein role appears in the complete packets</x:v>
      </x:c>
      <x:c r="J56" s="303" t="str">
        <x:v>No Wexner role appears in the complete packets</x:v>
      </x:c>
      <x:c r="K56" s="303" t="str">
        <x:v>1987-1988</x:v>
      </x:c>
      <x:c r="L56" s="303" t="str">
        <x:v>primary Ohio articles and dissolution images confirmed</x:v>
      </x:c>
      <x:c r="M56" s="303" t="str">
        <x:v>Dissolved 1988-12-28; sole shareholder unnamed</x:v>
      </x:c>
      <x:c r="N56" s="303" t="str">
        <x:v>bounded filing negative / property search</x:v>
      </x:c>
      <x:c r="O56" s="303" t="str">
        <x:v>G287_0747;G532_1192;FINDING:14574;OH-SOS:728764:G532_0974</x:v>
      </x:c>
      <x:c r="P56" s="303" t="str">
        <x:v>Snow was incorporator/agent and later secretary; Schwartz and Rubenstein were officers. Shared template and counsel do not establish ownership. Argotron G532_0974 p.7 establishes inclusion in a 46-company administrative dissolution batch; it does not establish common ownership, common control, a shared property portfolio, or beneficial ownership.</x:v>
      </x:c>
    </x:row>
    <x:row r="57" ht="64" customHeight="1">
      <x:c r="A57" s="303" t="str">
        <x:v>Eastside Industrial, Inc.</x:v>
      </x:c>
      <x:c r="B57" s="303" t="str">
        <x:v>Eastside Industrial Inc.; Ohio 689908</x:v>
      </x:c>
      <x:c r="C57" s="303" t="str">
        <x:v>Ohio corporation / merger survivor and industrial-name candidate</x:v>
      </x:c>
      <x:c r="D57" s="303" t="str">
        <x:v>Ohio</x:v>
      </x:c>
      <x:c r="E57" s="303" t="str">
        <x:v>689908</x:v>
      </x:c>
      <x:c r="F57" s="303" t="str">
        <x:v>dead / survived merger then dissolved</x:v>
      </x:c>
      <x:c r="G57" s="303" t="str">
        <x:v>Columbus, Franklin County; 41 S High St., Suite 3710 and Suite 2300</x:v>
      </x:c>
      <x:c r="H57" s="303" t="str">
        <x:v>No parcel or deed verified; succeeded to any Great Eastern property on 1989-12-22</x:v>
      </x:c>
      <x:c r="I57" s="303" t="str">
        <x:v>No Epstein role appears in the seven reviewed Eastside/Great Eastern packets</x:v>
      </x:c>
      <x:c r="J57" s="303" t="str">
        <x:v>No Wexner role appears in the seven reviewed Eastside/Great Eastern packets</x:v>
      </x:c>
      <x:c r="K57" s="303" t="str">
        <x:v>1986-1989</x:v>
      </x:c>
      <x:c r="L57" s="303" t="str">
        <x:v>primary Ohio full-history, merger, and dissolution images confirmed</x:v>
      </x:c>
      <x:c r="M57" s="303" t="str">
        <x:v>Survived Great Eastern merger 1989-12-22; dissolved 1989-12-29; sole shareholder unnamed</x:v>
      </x:c>
      <x:c r="N57" s="303" t="str">
        <x:v>successor-chain property pivot / bounded filing negative</x:v>
      </x:c>
      <x:c r="O57" s="303" t="str">
        <x:v>G046_1780; G296_1217; G769_0688; G805_0338; FINDING:14579</x:v>
      </x:c>
      <x:c r="P57" s="303" t="str">
        <x:v>Harold L. Levin was president and sole director at dissolution; Stanley Schwartz Jr. was secretary and Snow agent. No-personal-property language does not rule out real estate or identify an asset recipient.</x:v>
      </x:c>
    </x:row>
    <x:row r="58" ht="64" customHeight="1">
      <x:c r="A58" s="303" t="str">
        <x:v>Great Eastern Fastening Corp.</x:v>
      </x:c>
      <x:c r="B58" s="303" t="str">
        <x:v>Great Eastern Fastening Corporation; Ohio 689907</x:v>
      </x:c>
      <x:c r="C58" s="303" t="str">
        <x:v>Ohio corporation / merged industrial-name candidate</x:v>
      </x:c>
      <x:c r="D58" s="303" t="str">
        <x:v>Ohio</x:v>
      </x:c>
      <x:c r="E58" s="303" t="str">
        <x:v>689907</x:v>
      </x:c>
      <x:c r="F58" s="303" t="str">
        <x:v>dead / merged out</x:v>
      </x:c>
      <x:c r="G58" s="303" t="str">
        <x:v>Columbus, Franklin County; SKWR filing route at 41 S High St.</x:v>
      </x:c>
      <x:c r="H58" s="303" t="str">
        <x:v>No parcel or deed verified; any property passed to Eastside in 1989</x:v>
      </x:c>
      <x:c r="I58" s="303" t="str">
        <x:v>No Epstein role appears in the seven reviewed Eastside/Great Eastern packets</x:v>
      </x:c>
      <x:c r="J58" s="303" t="str">
        <x:v>No Wexner role appears in the seven reviewed Eastside/Great Eastern packets</x:v>
      </x:c>
      <x:c r="K58" s="303" t="str">
        <x:v>1986-1989</x:v>
      </x:c>
      <x:c r="L58" s="303" t="str">
        <x:v>primary Ohio full-history and reciprocal merger images confirmed</x:v>
      </x:c>
      <x:c r="M58" s="303" t="str">
        <x:v>Merged into Eastside Industrial 1989-12-22; sole shareholder unnamed</x:v>
      </x:c>
      <x:c r="N58" s="303" t="str">
        <x:v>successor-chain property pivot / bounded filing negative</x:v>
      </x:c>
      <x:c r="O58" s="303" t="str">
        <x:v>G046_1772; G296_1223; G769_0688; G769_0695; FINDING:14579</x:v>
      </x:c>
      <x:c r="P58" s="303" t="str">
        <x:v>The exact-charter MEX packet omits the survivor; the substantive agreement supplies the edge. Search Great Eastern through the merger date and Eastside afterward.</x:v>
      </x:c>
    </x:row>
    <x:row r="59" ht="64" customHeight="1">
      <x:c r="A59" s="303" t="str">
        <x:v>Carlisle Meadows, Inc.</x:v>
      </x:c>
      <x:c r="B59" s="303" t="str">
        <x:v>Carlisle Meadows Inc.; Ohio 689663</x:v>
      </x:c>
      <x:c r="C59" s="303" t="str">
        <x:v>Ohio corporation / land-name property candidate</x:v>
      </x:c>
      <x:c r="D59" s="303" t="str">
        <x:v>Ohio</x:v>
      </x:c>
      <x:c r="E59" s="303" t="str">
        <x:v>689663</x:v>
      </x:c>
      <x:c r="F59" s="303" t="str">
        <x:v>dead / dissolved</x:v>
      </x:c>
      <x:c r="G59" s="303" t="str">
        <x:v>Columbus, Franklin County; CT Corporation System at Carew Tower, Cincinnati; later 41 S High St., Suite 2300/23rd Floor, Columbus, OH 43215</x:v>
      </x:c>
      <x:c r="H59" s="303" t="str">
        <x:v>No parcel or deed verified</x:v>
      </x:c>
      <x:c r="I59" s="303" t="str">
        <x:v>No Epstein role appears in the complete formation, agent-change, and dissolution packets</x:v>
      </x:c>
      <x:c r="J59" s="303" t="str">
        <x:v>No Wexner role appears in the complete formation, agent-change, and dissolution packets</x:v>
      </x:c>
      <x:c r="K59" s="303" t="str">
        <x:v>1986-1988</x:v>
      </x:c>
      <x:c r="L59" s="303" t="str">
        <x:v>primary Ohio images confirmed</x:v>
      </x:c>
      <x:c r="M59" s="303" t="str">
        <x:v>Dissolved 1988-12-28; sole shareholder unnamed</x:v>
      </x:c>
      <x:c r="N59" s="303" t="str">
        <x:v>bounded filing negative / property follow-up</x:v>
      </x:c>
      <x:c r="O59" s="303" t="str">
        <x:v>G043_1702;G296_1208;G532_0994;FINDING:14580;OH-SOS:728764:G532_0974</x:v>
      </x:c>
      <x:c r="P59" s="303" t="str">
        <x:v>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row>
    <x:row r="60" ht="64" customHeight="1">
      <x:c r="A60" s="303" t="str">
        <x:v>Daiseyland Farms, Inc.</x:v>
      </x:c>
      <x:c r="B60" s="303" t="str">
        <x:v>Daiseyland Farms Inc.; Daisyland Farms, Inc. (1990 dissolution spelling); Ohio 689454</x:v>
      </x:c>
      <x:c r="C60" s="303" t="str">
        <x:v>Ohio corporation / land-name property candidate</x:v>
      </x:c>
      <x:c r="D60" s="303" t="str">
        <x:v>Ohio</x:v>
      </x:c>
      <x:c r="E60" s="303" t="str">
        <x:v>689454</x:v>
      </x:c>
      <x:c r="F60" s="303" t="str">
        <x:v>dead / dissolved</x:v>
      </x:c>
      <x:c r="G60" s="303" t="str">
        <x:v>Columbus, Franklin County; CT Corporation System at Carew Tower, Cincinnati; later 41 S High St., Suites 1750 and 2300, Columbus, OH 43215</x:v>
      </x:c>
      <x:c r="H60" s="303" t="str">
        <x:v>No parcel or deed verified</x:v>
      </x:c>
      <x:c r="I60" s="303" t="str">
        <x:v>No Epstein role appears in the complete formation, agent-change, and dissolution packets</x:v>
      </x:c>
      <x:c r="J60" s="303" t="str">
        <x:v>No Wexner role appears in the complete formation, agent-change, and dissolution packets</x:v>
      </x:c>
      <x:c r="K60" s="303" t="str">
        <x:v>1986-1990</x:v>
      </x:c>
      <x:c r="L60" s="303" t="str">
        <x:v>primary Ohio images confirmed</x:v>
      </x:c>
      <x:c r="M60" s="303" t="str">
        <x:v>Dissolved 1990-12-28; sole shareholder unnamed</x:v>
      </x:c>
      <x:c r="N60" s="303" t="str">
        <x:v>bounded filing negative / property follow-up</x:v>
      </x:c>
      <x:c r="O60" s="303" t="str">
        <x:v>G041_1751; G296_1214; H052_1510; FINDING:14580</x:v>
      </x:c>
      <x:c r="P60" s="303" t="str">
        <x:v>The terminal packet's Daisyland spelling is a search alias, not proof of a legal name change. Snow's vice-president and agent roles do not establish ownership. The no-personal-property affidavit does not address real estate.</x:v>
      </x:c>
    </x:row>
    <x:row r="61" ht="64" customHeight="1">
      <x:c r="A61" s="303" t="str">
        <x:v>Frontier Hills, Inc.</x:v>
      </x:c>
      <x:c r="B61" s="303" t="str">
        <x:v>Frontier Hills Inc.; Ohio 689662</x:v>
      </x:c>
      <x:c r="C61" s="303" t="str">
        <x:v>Ohio corporation / land-name property candidate</x:v>
      </x:c>
      <x:c r="D61" s="303" t="str">
        <x:v>Ohio</x:v>
      </x:c>
      <x:c r="E61" s="303" t="str">
        <x:v>689662</x:v>
      </x:c>
      <x:c r="F61" s="303" t="str">
        <x:v>dead / dissolved</x:v>
      </x:c>
      <x:c r="G61" s="303" t="str">
        <x:v>Columbus, Franklin County; CT Corporation System at Carew Tower, Cincinnati; later 41 S High St., Suite 2300/23rd Floor, Columbus, OH 43215</x:v>
      </x:c>
      <x:c r="H61" s="303" t="str">
        <x:v>No parcel or deed verified</x:v>
      </x:c>
      <x:c r="I61" s="303" t="str">
        <x:v>No Epstein role appears in the complete formation, agent-change, and dissolution packets</x:v>
      </x:c>
      <x:c r="J61" s="303" t="str">
        <x:v>No Wexner role appears in the complete formation, agent-change, and dissolution packets</x:v>
      </x:c>
      <x:c r="K61" s="303" t="str">
        <x:v>1986-1988</x:v>
      </x:c>
      <x:c r="L61" s="303" t="str">
        <x:v>primary Ohio images confirmed</x:v>
      </x:c>
      <x:c r="M61" s="303" t="str">
        <x:v>Dissolved 1988-12-28; sole shareholder unnamed</x:v>
      </x:c>
      <x:c r="N61" s="303" t="str">
        <x:v>bounded filing negative / property follow-up</x:v>
      </x:c>
      <x:c r="O61" s="303" t="str">
        <x:v>G043_1694;G296_1195;G532_1066;FINDING:14580;OH-SOS:728764:G532_0974</x:v>
      </x:c>
      <x:c r="P61" s="303" t="str">
        <x:v>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row>
    <x:row r="62" ht="64" customHeight="1">
      <x:c r="A62" s="303" t="str">
        <x:v>Gahanna Trucking, Inc.</x:v>
      </x:c>
      <x:c r="B62" s="303" t="str">
        <x:v>Gahanna Trucking Inc.; Ohio 689906</x:v>
      </x:c>
      <x:c r="C62" s="303" t="str">
        <x:v>Ohio corporation / trucking-name operational or property candidate</x:v>
      </x:c>
      <x:c r="D62" s="303" t="str">
        <x:v>Ohio</x:v>
      </x:c>
      <x:c r="E62" s="303" t="str">
        <x:v>689906</x:v>
      </x:c>
      <x:c r="F62" s="303" t="str">
        <x:v>dead / dissolved</x:v>
      </x:c>
      <x:c r="G62" s="303" t="str">
        <x:v>Columbus, Franklin County; CT Corporation System at Carew Tower, Cincinnati; later 41 S High St., Suite 2300/23rd Floor, Columbus, OH 43215</x:v>
      </x:c>
      <x:c r="H62" s="303" t="str">
        <x:v>No parcel or deed verified</x:v>
      </x:c>
      <x:c r="I62" s="303" t="str">
        <x:v>No Epstein role appears in the complete formation, agent-change, and dissolution packets</x:v>
      </x:c>
      <x:c r="J62" s="303" t="str">
        <x:v>No Wexner role appears in the complete formation, agent-change, and dissolution packets</x:v>
      </x:c>
      <x:c r="K62" s="303" t="str">
        <x:v>1986-1988</x:v>
      </x:c>
      <x:c r="L62" s="303" t="str">
        <x:v>primary Ohio images confirmed</x:v>
      </x:c>
      <x:c r="M62" s="303" t="str">
        <x:v>Dissolved 1988-12-28; sole shareholder unnamed</x:v>
      </x:c>
      <x:c r="N62" s="303" t="str">
        <x:v>bounded filing negative / property follow-up</x:v>
      </x:c>
      <x:c r="O62" s="303" t="str">
        <x:v>G046_1764;G296_1220;G532_1072;FINDING:14580;OH-SOS:728764:G532_0974</x:v>
      </x:c>
      <x:c r="P62" s="303" t="str">
        <x:v>The formation cover letter proves a filing batch with Great Eastern Fastening and Eastside Industrial, not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row>
    <x:row r="63" ht="64" customHeight="1">
      <x:c r="A63" s="303" t="str">
        <x:v>Greystone Acres, Inc.</x:v>
      </x:c>
      <x:c r="B63" s="303" t="str">
        <x:v>Greystone Acres Inc.; Ohio 689446</x:v>
      </x:c>
      <x:c r="C63" s="303" t="str">
        <x:v>Ohio corporation / land-name property candidate</x:v>
      </x:c>
      <x:c r="D63" s="303" t="str">
        <x:v>Ohio</x:v>
      </x:c>
      <x:c r="E63" s="303" t="str">
        <x:v>689446</x:v>
      </x:c>
      <x:c r="F63" s="303" t="str">
        <x:v>dead / dissolved</x:v>
      </x:c>
      <x:c r="G63" s="303" t="str">
        <x:v>Columbus, Franklin County; CT Corporation System at Carew Tower, Cincinnati; later 41 S High St., Suite 2300/23rd Floor, Columbus, OH 43215</x:v>
      </x:c>
      <x:c r="H63" s="303" t="str">
        <x:v>No parcel or deed verified</x:v>
      </x:c>
      <x:c r="I63" s="303" t="str">
        <x:v>No Epstein role appears in the complete formation, agent-change, and dissolution packets</x:v>
      </x:c>
      <x:c r="J63" s="303" t="str">
        <x:v>No Wexner role appears in the complete formation, agent-change, and dissolution packets</x:v>
      </x:c>
      <x:c r="K63" s="303" t="str">
        <x:v>1986-1988</x:v>
      </x:c>
      <x:c r="L63" s="303" t="str">
        <x:v>primary Ohio images confirmed</x:v>
      </x:c>
      <x:c r="M63" s="303" t="str">
        <x:v>Dissolved 1988-12-28; sole shareholder unnamed</x:v>
      </x:c>
      <x:c r="N63" s="303" t="str">
        <x:v>bounded filing negative / property follow-up</x:v>
      </x:c>
      <x:c r="O63" s="303" t="str">
        <x:v>G041_1688;G296_1199;G532_1084;FINDING:14580;OH-SOS:728764:G532_0974</x:v>
      </x:c>
      <x:c r="P63" s="303" t="str">
        <x:v>Shared law-firm administration does not establish beneficial ownership. The no-personal-property affidavit does not address real estate; no asset recipient is named. Argotron G532_0974 p.7 establishes inclusion in a 46-company administrative dissolution batch; it does not establish common ownership, common control, a shared property portfolio, or beneficial ownership.</x:v>
      </x:c>
    </x:row>
    <x:row r="64" ht="64" customHeight="1">
      <x:c r="A64" s="303" t="str">
        <x:v>Brewer Farms, Inc.</x:v>
      </x:c>
      <x:c r="B64" s="303" t="str">
        <x:v>Brewer Farms Inc.; Ohio 689664</x:v>
      </x:c>
      <x:c r="C64" s="303" t="str">
        <x:v>Ohio corporation / farm-name property candidate</x:v>
      </x:c>
      <x:c r="D64" s="303" t="str">
        <x:v>Ohio</x:v>
      </x:c>
      <x:c r="E64" s="303" t="str">
        <x:v>689664</x:v>
      </x:c>
      <x:c r="F64" s="303" t="str">
        <x:v>dead / merged out</x:v>
      </x:c>
      <x:c r="G64" s="303" t="str">
        <x:v>Columbus, Franklin County; CT Corporation System at Carew Tower, Cincinnati; later c/o Schwartz, Kelm, Warren &amp; Rubenstein, 41 S High St., Suite 2300, Columbus, OH 43215</x:v>
      </x:c>
      <x:c r="H64" s="303" t="str">
        <x:v>No parcel or deed verified</x:v>
      </x:c>
      <x:c r="I64" s="303" t="str">
        <x:v>No Epstein role appears in the complete formation, agent-change, and MEX-status packets</x:v>
      </x:c>
      <x:c r="J64" s="303" t="str">
        <x:v>No Wexner role appears in the complete formation, agent-change, and MEX-status packets</x:v>
      </x:c>
      <x:c r="K64" s="303" t="str">
        <x:v>1986-1987</x:v>
      </x:c>
      <x:c r="L64" s="303" t="str">
        <x:v>primary Ohio full-history and MEX-status images confirmed</x:v>
      </x:c>
      <x:c r="M64" s="303" t="str">
        <x:v>Merged out 1987-12-31; survivor unresolved</x:v>
      </x:c>
      <x:c r="N64" s="303" t="str">
        <x:v>bounded filing negative / property and survivor follow-up</x:v>
      </x:c>
      <x:c r="O64" s="303" t="str">
        <x:v>G043_1710; G296_1205; G313_0675; FINDING:14581</x:v>
      </x:c>
      <x:c r="P64" s="303" t="str">
        <x:v>All 14 pages were visually reviewed. Snow appears only as statutory agent and Coppel's exact signing capacity is illegible. The name and shared filing cluster do not establish property ownership, common control, or a merger survivor.</x:v>
      </x:c>
    </x:row>
    <x:row r="65" ht="64" customHeight="1">
      <x:c r="A65" s="303" t="str">
        <x:v>Central Falls, Inc.</x:v>
      </x:c>
      <x:c r="B65" s="303" t="str">
        <x:v>Central Falls Inc.; Ohio 689666</x:v>
      </x:c>
      <x:c r="C65" s="303" t="str">
        <x:v>Ohio corporation / administrative-batch candidate</x:v>
      </x:c>
      <x:c r="D65" s="303" t="str">
        <x:v>Ohio</x:v>
      </x:c>
      <x:c r="E65" s="303" t="str">
        <x:v>689666</x:v>
      </x:c>
      <x:c r="F65" s="303" t="str">
        <x:v>dead / merged out</x:v>
      </x:c>
      <x:c r="G65" s="303" t="str">
        <x:v>Columbus, Franklin County; CT Corporation System at Carew Tower, Cincinnati; later c/o Schwartz, Kelm, Warren &amp; Rubenstein, 41 S High St., Suite 2300, Columbus, OH 43215</x:v>
      </x:c>
      <x:c r="H65" s="303" t="str">
        <x:v>No parcel or deed verified</x:v>
      </x:c>
      <x:c r="I65" s="303" t="str">
        <x:v>No Epstein role appears in the complete formation, agent-change, and MEX-status packets</x:v>
      </x:c>
      <x:c r="J65" s="303" t="str">
        <x:v>No Wexner role appears in the complete formation, agent-change, and MEX-status packets</x:v>
      </x:c>
      <x:c r="K65" s="303" t="str">
        <x:v>1986-1987</x:v>
      </x:c>
      <x:c r="L65" s="303" t="str">
        <x:v>primary Ohio full-history and MEX-status images confirmed</x:v>
      </x:c>
      <x:c r="M65" s="303" t="str">
        <x:v>Merged out 1987-12-31; survivor unresolved</x:v>
      </x:c>
      <x:c r="N65" s="303" t="str">
        <x:v>bounded filing negative / property and survivor follow-up</x:v>
      </x:c>
      <x:c r="O65" s="303" t="str">
        <x:v>G043_1726; G296_1211; G313_0685; FINDING:14582</x:v>
      </x:c>
      <x:c r="P65" s="303" t="str">
        <x:v>All 14 pages were visually reviewed. Snow appears only as statutory agent and Coppel's exact signing capacity is illegible. The name and shared filing cluster do not establish property ownership, common control, or a merger survivor.</x:v>
      </x:c>
    </x:row>
    <x:row r="66" ht="64" customHeight="1">
      <x:c r="A66" s="303" t="str">
        <x:v>The Leslie H. Wexner Foundation</x:v>
      </x:c>
      <x:c r="B66" s="303" t="str">
        <x:v>Leslie H. Wexner Foundation; Ohio 658659</x:v>
      </x:c>
      <x:c r="C66" s="303" t="str">
        <x:v>Ohio foundation / reported merger predecessor</x:v>
      </x:c>
      <x:c r="D66" s="303" t="str">
        <x:v>Ohio</x:v>
      </x:c>
      <x:c r="E66" s="303" t="str">
        <x:v>658659</x:v>
      </x:c>
      <x:c r="F66" s="303" t="str">
        <x:v>inactive</x:v>
      </x:c>
      <x:c r="G66" s="303" t="str">
        <x:v>Exact administrative and property addresses pending primary Ohio packet review</x:v>
      </x:c>
      <x:c r="H66" s="303" t="str">
        <x:v>No parcel or deed verified</x:v>
      </x:c>
      <x:c r="I66" s="303" t="str">
        <x:v>No exact-entity Epstein role confirmed; commissioned review reports his survivor-side trustee signature on a joint merger action</x:v>
      </x:c>
      <x:c r="J66" s="303" t="str">
        <x:v>Wexner-associated foundation</x:v>
      </x:c>
      <x:c r="K66" s="303" t="str">
        <x:v>1985-1993 registry life; 1993 reported merger</x:v>
      </x:c>
      <x:c r="L66" s="303" t="str">
        <x:v>Official Ohio registry metadata plus commissioned review; primary Ohio merger packets pending</x:v>
      </x:c>
      <x:c r="M66" s="303" t="str">
        <x:v>Reported predecessor in 1993 merger into The Wexner Foundation; reciprocal packet not retrieved</x:v>
      </x:c>
      <x:c r="N66" s="303" t="str">
        <x:v>merger-party seed / primary Ohio history pending</x:v>
      </x:c>
      <x:c r="O66" s="303" t="str">
        <x:v>OH-REGISTRY:658659; wexner_foundation_review</x:v>
      </x:c>
      <x:c r="P66" s="303" t="str">
        <x:v>Do not infer that Epstein was an officer or trustee of this predecessor from a signature made as trustee of the survivor.</x:v>
      </x:c>
    </x:row>
    <x:row r="67" ht="64" customHeight="1">
      <x:c r="A67" s="303" t="str">
        <x:v>Blueberry Ridge Properties, Inc.</x:v>
      </x:c>
      <x:c r="B67" s="303" t="str">
        <x:v>Blueberry Ridge Properties, Inc.; Ohio 714670</x:v>
      </x:c>
      <x:c r="C67" s="303" t="str">
        <x:v>Ohio corporation / verified merger predecessor and property-name lead</x:v>
      </x:c>
      <x:c r="D67" s="303" t="str">
        <x:v>Ohio</x:v>
      </x:c>
      <x:c r="E67" s="303" t="str">
        <x:v>714670</x:v>
      </x:c>
      <x:c r="F67" s="303" t="str">
        <x:v>dead / merged out</x:v>
      </x:c>
      <x:c r="G67" s="303" t="str">
        <x:v>41 S High St., Suite 2300, Columbus; MEX status returned to 5906 E Dublin-Granville Rd., New Albany</x:v>
      </x:c>
      <x:c r="H67" s="303" t="str">
        <x:v>No deed or parcel verified</x:v>
      </x:c>
      <x:c r="I67" s="303" t="str">
        <x:v>No Epstein role appears in the available exact-charter or merger packets</x:v>
      </x:c>
      <x:c r="J67" s="303" t="str">
        <x:v>New Albany Company received processing correspondence but was not a named merger constituent</x:v>
      </x:c>
      <x:c r="K67" s="303" t="str">
        <x:v>1987-1995</x:v>
      </x:c>
      <x:c r="L67" s="303" t="str">
        <x:v>primary available Ohio images and substantive merger certificate confirmed</x:v>
      </x:c>
      <x:c r="M67" s="303" t="str">
        <x:v>Merged into Eastern Ohio Holding Company 1995-12-29; two history images unavailable</x:v>
      </x:c>
      <x:c r="N67" s="303" t="str">
        <x:v>successor-aware property pivot</x:v>
      </x:c>
      <x:c r="O67" s="303" t="str">
        <x:v>G294_1082;5422_1190;5422_1209;FINDING:14583;FINDING:14646</x:v>
      </x:c>
      <x:c r="P67" s="303" t="str">
        <x:v>The property-name signal is not title evidence. Search Blueberry Ridge through the merger date and Eastern Ohio afterward.</x:v>
      </x:c>
    </x:row>
    <x:row r="68" ht="64" customHeight="1">
      <x:c r="A68" s="303" t="str">
        <x:v>Cedar Canyon Properties, Inc.</x:v>
      </x:c>
      <x:c r="B68" s="303" t="str">
        <x:v>Cedar Canyon Properties, Inc.; Ohio 714673</x:v>
      </x:c>
      <x:c r="C68" s="303" t="str">
        <x:v>Ohio corporation / verified merger predecessor and property-name lead</x:v>
      </x:c>
      <x:c r="D68" s="303" t="str">
        <x:v>Ohio</x:v>
      </x:c>
      <x:c r="E68" s="303" t="str">
        <x:v>714673</x:v>
      </x:c>
      <x:c r="F68" s="303" t="str">
        <x:v>dead / merged out</x:v>
      </x:c>
      <x:c r="G68" s="303" t="str">
        <x:v>41 S High St., Suite 2300, Columbus; MEX status returned to 5906 E Dublin-Granville Rd., New Albany</x:v>
      </x:c>
      <x:c r="H68" s="303" t="str">
        <x:v>No deed or parcel verified</x:v>
      </x:c>
      <x:c r="I68" s="303" t="str">
        <x:v>No Epstein role appears in the available exact-charter or merger packets</x:v>
      </x:c>
      <x:c r="J68" s="303" t="str">
        <x:v>New Albany Company received processing correspondence but was not a named merger constituent</x:v>
      </x:c>
      <x:c r="K68" s="303" t="str">
        <x:v>1987-1995</x:v>
      </x:c>
      <x:c r="L68" s="303" t="str">
        <x:v>primary available Ohio images and substantive merger certificate confirmed</x:v>
      </x:c>
      <x:c r="M68" s="303" t="str">
        <x:v>Merged into Eastern Ohio Holding Company 1995-12-29; two history images unavailable</x:v>
      </x:c>
      <x:c r="N68" s="303" t="str">
        <x:v>successor-aware property pivot</x:v>
      </x:c>
      <x:c r="O68" s="303" t="str">
        <x:v>G294_1100;5422_1190;5422_1215;FINDING:14583;FINDING:14646</x:v>
      </x:c>
      <x:c r="P68" s="303" t="str">
        <x:v>The property-name signal is not title evidence. Search Cedar Canyon through the merger date and Eastern Ohio afterward.</x:v>
      </x:c>
    </x:row>
    <x:row r="69" ht="64" customHeight="1">
      <x:c r="A69" s="303" t="str">
        <x:v>Chestnut Heights Corporation</x:v>
      </x:c>
      <x:c r="B69" s="303" t="str">
        <x:v>Chestnut Heights Corporation; Ohio 714674</x:v>
      </x:c>
      <x:c r="C69" s="303" t="str">
        <x:v>Ohio corporation / property-name or administrative candidate</x:v>
      </x:c>
      <x:c r="D69" s="303" t="str">
        <x:v>Ohio</x:v>
      </x:c>
      <x:c r="E69" s="303" t="str">
        <x:v>714674</x:v>
      </x:c>
      <x:c r="F69" s="303" t="str">
        <x:v>dead / dissolved</x:v>
      </x:c>
      <x:c r="G69" s="303" t="str">
        <x:v>41 S High St., Suite 2300 and later 23rd Floor, Columbus, OH 43215</x:v>
      </x:c>
      <x:c r="H69" s="303" t="str">
        <x:v>No deed or parcel verified; official Franklin property source not integrated</x:v>
      </x:c>
      <x:c r="I69" s="303" t="str">
        <x:v>No Epstein role appears in the available exact-charter packets</x:v>
      </x:c>
      <x:c r="J69" s="303" t="str">
        <x:v>No Wexner role appears in the complete exact-charter packets</x:v>
      </x:c>
      <x:c r="K69" s="303" t="str">
        <x:v>1987-1988</x:v>
      </x:c>
      <x:c r="L69" s="303" t="str">
        <x:v>primary Ohio articles and dissolution images confirmed; property source unavailable</x:v>
      </x:c>
      <x:c r="M69" s="303" t="str">
        <x:v>Dissolved 1988-12-28; sole shareholder unnamed</x:v>
      </x:c>
      <x:c r="N69" s="303" t="str">
        <x:v>bounded filing negative / property follow-up</x:v>
      </x:c>
      <x:c r="O69" s="303" t="str">
        <x:v>G294_1106;G532_1012;FINDING:14583;OH-SOS:728764:G532_0974</x:v>
      </x:c>
      <x:c r="P69" s="303" t="str">
        <x:v>Shared law-firm administration does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70" ht="64" customHeight="1">
      <x:c r="A70" s="303" t="str">
        <x:v>Plateau Acres Incorporated</x:v>
      </x:c>
      <x:c r="B70" s="303" t="str">
        <x:v>Plateau Acres Incorporated; Ohio 714672</x:v>
      </x:c>
      <x:c r="C70" s="303" t="str">
        <x:v>Ohio corporation / property-name or administrative candidate</x:v>
      </x:c>
      <x:c r="D70" s="303" t="str">
        <x:v>Ohio</x:v>
      </x:c>
      <x:c r="E70" s="303" t="str">
        <x:v>714672</x:v>
      </x:c>
      <x:c r="F70" s="303" t="str">
        <x:v>dead / dissolved</x:v>
      </x:c>
      <x:c r="G70" s="303" t="str">
        <x:v>41 S High St., Suite 2300 and later 23rd Floor, Columbus, OH 43215</x:v>
      </x:c>
      <x:c r="H70" s="303" t="str">
        <x:v>No deed or parcel verified; official Franklin property source not integrated</x:v>
      </x:c>
      <x:c r="I70" s="303" t="str">
        <x:v>No Epstein role appears in the available exact-charter packets</x:v>
      </x:c>
      <x:c r="J70" s="303" t="str">
        <x:v>No Wexner role appears in the complete exact-charter packets</x:v>
      </x:c>
      <x:c r="K70" s="303" t="str">
        <x:v>1987-1988</x:v>
      </x:c>
      <x:c r="L70" s="303" t="str">
        <x:v>primary Ohio articles and dissolution images confirmed; property source unavailable</x:v>
      </x:c>
      <x:c r="M70" s="303" t="str">
        <x:v>Dissolved 1988-12-28; sole shareholder unnamed</x:v>
      </x:c>
      <x:c r="N70" s="303" t="str">
        <x:v>bounded filing negative / property follow-up</x:v>
      </x:c>
      <x:c r="O70" s="303" t="str">
        <x:v>G294_1094;G532_1186;FINDING:14583;OH-SOS:728764:G532_0974</x:v>
      </x:c>
      <x:c r="P70" s="303" t="str">
        <x:v>Shared law-firm administration does not establish beneficial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71" ht="64" customHeight="1">
      <x:c r="A71" s="303" t="str">
        <x:v>Fordham Investment, Inc.</x:v>
      </x:c>
      <x:c r="B71" s="303" t="str">
        <x:v>Fordham Investment Inc.</x:v>
      </x:c>
      <x:c r="C71" s="303" t="str">
        <x:v>Ohio corporation / investment-name property lead</x:v>
      </x:c>
      <x:c r="D71" s="303" t="str">
        <x:v>Ohio</x:v>
      </x:c>
      <x:c r="E71" s="303" t="str">
        <x:v>719941</x:v>
      </x:c>
      <x:c r="F71" s="303" t="str">
        <x:v>dead / dissolved</x:v>
      </x:c>
      <x:c r="G71" s="303" t="str">
        <x:v>41 S. High St., Suite 2300 / 23rd Floor, Columbus, OH 43215</x:v>
      </x:c>
      <x:c r="H71" s="303" t="str">
        <x:v>No parcel is identified in the corporate packets; county property search not started</x:v>
      </x:c>
      <x:c r="I71" s="303" t="str">
        <x:v>No Epstein role appears in the complete exact-charter filing history</x:v>
      </x:c>
      <x:c r="J71" s="303" t="str">
        <x:v>No Wexner role appears in the complete exact-charter filing history</x:v>
      </x:c>
      <x:c r="K71" s="303" t="str">
        <x:v>1988-03-04 to 1988-12-28</x:v>
      </x:c>
      <x:c r="L71" s="303" t="str">
        <x:v>complete primary Ohio filing history and images confirmed; property records not searched</x:v>
      </x:c>
      <x:c r="M71" s="303" t="str">
        <x:v>Dissolved 1988-12-28 after an unnamed sole-shareholder resolution; no merger or asset recipient identified</x:v>
      </x:c>
      <x:c r="N71" s="303" t="str">
        <x:v>property-record follow-up</x:v>
      </x:c>
      <x:c r="O71" s="303" t="str">
        <x:v>G339_1075;G532_1048;FINDING:14584;OH-SOS:728764:G532_0974</x:v>
      </x:c>
      <x:c r="P71" s="303"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72" ht="64" customHeight="1">
      <x:c r="A72" s="303" t="str">
        <x:v>Linden Acres, Inc.</x:v>
      </x:c>
      <x:c r="B72" s="303" t="str">
        <x:v>Linden Acres Inc.</x:v>
      </x:c>
      <x:c r="C72" s="303" t="str">
        <x:v>Ohio corporation / acreage-name property lead</x:v>
      </x:c>
      <x:c r="D72" s="303" t="str">
        <x:v>Ohio</x:v>
      </x:c>
      <x:c r="E72" s="303" t="str">
        <x:v>719942</x:v>
      </x:c>
      <x:c r="F72" s="303" t="str">
        <x:v>dead / dissolved</x:v>
      </x:c>
      <x:c r="G72" s="303" t="str">
        <x:v>41 S. High St., Suite 2300 / 23rd Floor, Columbus, OH 43215</x:v>
      </x:c>
      <x:c r="H72" s="303" t="str">
        <x:v>No parcel is identified in the corporate packets; county property search not started</x:v>
      </x:c>
      <x:c r="I72" s="303" t="str">
        <x:v>No Epstein role appears in the complete exact-charter filing history</x:v>
      </x:c>
      <x:c r="J72" s="303" t="str">
        <x:v>No Wexner role appears in the complete exact-charter filing history</x:v>
      </x:c>
      <x:c r="K72" s="303" t="str">
        <x:v>1988-03-04 to 1988-12-28</x:v>
      </x:c>
      <x:c r="L72" s="303" t="str">
        <x:v>complete primary Ohio filing history and images confirmed; property records not searched</x:v>
      </x:c>
      <x:c r="M72" s="303" t="str">
        <x:v>Dissolved 1988-12-28 after an unnamed sole-shareholder resolution; no merger or asset recipient identified</x:v>
      </x:c>
      <x:c r="N72" s="303" t="str">
        <x:v>property-record follow-up</x:v>
      </x:c>
      <x:c r="O72" s="303" t="str">
        <x:v>G339_1082;G532_1120;FINDING:14584;OH-SOS:728764:G532_0974</x:v>
      </x:c>
      <x:c r="P72" s="303"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73" ht="64" customHeight="1">
      <x:c r="A73" s="303" t="str">
        <x:v>Rockford Development, Inc.</x:v>
      </x:c>
      <x:c r="B73" s="303" t="str">
        <x:v>Rockford Development Inc.</x:v>
      </x:c>
      <x:c r="C73" s="303" t="str">
        <x:v>Ohio corporation / development-name property lead</x:v>
      </x:c>
      <x:c r="D73" s="303" t="str">
        <x:v>Ohio</x:v>
      </x:c>
      <x:c r="E73" s="303" t="str">
        <x:v>719944</x:v>
      </x:c>
      <x:c r="F73" s="303" t="str">
        <x:v>dead / dissolved</x:v>
      </x:c>
      <x:c r="G73" s="303" t="str">
        <x:v>41 S. High St., Suite 2300 / 23rd Floor, Columbus, OH 43215</x:v>
      </x:c>
      <x:c r="H73" s="303" t="str">
        <x:v>No parcel is identified in the corporate packets; county property search not started</x:v>
      </x:c>
      <x:c r="I73" s="303" t="str">
        <x:v>No Epstein role appears in the complete exact-charter filing history</x:v>
      </x:c>
      <x:c r="J73" s="303" t="str">
        <x:v>No Wexner role appears in the complete exact-charter filing history</x:v>
      </x:c>
      <x:c r="K73" s="303" t="str">
        <x:v>1988-03-04 to 1988-12-28</x:v>
      </x:c>
      <x:c r="L73" s="303" t="str">
        <x:v>complete primary Ohio filing history and images confirmed; property records not searched</x:v>
      </x:c>
      <x:c r="M73" s="303" t="str">
        <x:v>Dissolved 1988-12-28 after an unnamed sole-shareholder resolution; no merger or asset recipient identified</x:v>
      </x:c>
      <x:c r="N73" s="303" t="str">
        <x:v>property-record follow-up</x:v>
      </x:c>
      <x:c r="O73" s="303" t="str">
        <x:v>G339_1096;G532_1204;FINDING:14584;OH-SOS:728764:G532_0974</x:v>
      </x:c>
      <x:c r="P73" s="303"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74" ht="64" customHeight="1">
      <x:c r="A74" s="303" t="str">
        <x:v>Tudor Properties, Inc.</x:v>
      </x:c>
      <x:c r="B74" s="303" t="str">
        <x:v>Tudor Properties Inc.</x:v>
      </x:c>
      <x:c r="C74" s="303" t="str">
        <x:v>Ohio corporation / verified merger predecessor and property lead</x:v>
      </x:c>
      <x:c r="D74" s="303" t="str">
        <x:v>Ohio</x:v>
      </x:c>
      <x:c r="E74" s="303" t="str">
        <x:v>719945</x:v>
      </x:c>
      <x:c r="F74" s="303" t="str">
        <x:v>dead / merged out</x:v>
      </x:c>
      <x:c r="G74" s="303" t="str">
        <x:v>41 S. High St., Suite 2300, Columbus, OH 43215; MEX status returned to 5906 E Dublin-Granville Rd., New Albany, OH 43054</x:v>
      </x:c>
      <x:c r="H74" s="303" t="str">
        <x:v>No parcel identified in the corporate packets</x:v>
      </x:c>
      <x:c r="I74" s="303" t="str">
        <x:v>No Epstein role appears in the available exact-charter or merger packets</x:v>
      </x:c>
      <x:c r="J74" s="303" t="str">
        <x:v>New Albany Company is only a processing-return recipient and not a named merger constituent</x:v>
      </x:c>
      <x:c r="K74" s="303" t="str">
        <x:v>1988-03-04 to 1995-12-29</x:v>
      </x:c>
      <x:c r="L74" s="303" t="str">
        <x:v>primary available Ohio images and substantive merger certificate confirmed; two 1993 rows unavailable</x:v>
      </x:c>
      <x:c r="M74" s="303" t="str">
        <x:v>Merged into Eastern Ohio Holding Company 1995-12-29</x:v>
      </x:c>
      <x:c r="N74" s="303" t="str">
        <x:v>successor-aware property pivot</x:v>
      </x:c>
      <x:c r="O74" s="303" t="str">
        <x:v>G339_1103;5422_1190;5422_1212;FINDING:14584;FINDING:14646</x:v>
      </x:c>
      <x:c r="P74" s="303" t="str">
        <x:v>Search Tudor through the merger date and Eastern Ohio afterward. Shared processing routing does not establish ownership.</x:v>
      </x:c>
    </x:row>
    <x:row r="75" ht="64" customHeight="1">
      <x:c r="A75" s="303" t="str">
        <x:v>Forrest Farms, Inc.</x:v>
      </x:c>
      <x:c r="B75" s="303" t="str">
        <x:v>Forrest Farms Inc.</x:v>
      </x:c>
      <x:c r="C75" s="303" t="str">
        <x:v>Ohio corporation / farm-name property lead</x:v>
      </x:c>
      <x:c r="D75" s="303" t="str">
        <x:v>Ohio</x:v>
      </x:c>
      <x:c r="E75" s="303" t="str">
        <x:v>719946</x:v>
      </x:c>
      <x:c r="F75" s="303" t="str">
        <x:v>dead / dissolved</x:v>
      </x:c>
      <x:c r="G75" s="303" t="str">
        <x:v>41 S. High St., Suite 2300 / 23rd Floor, Columbus, OH 43215</x:v>
      </x:c>
      <x:c r="H75" s="303" t="str">
        <x:v>No parcel is identified in the corporate packets; county property search not started</x:v>
      </x:c>
      <x:c r="I75" s="303" t="str">
        <x:v>No Epstein role appears in the complete exact-charter filing history</x:v>
      </x:c>
      <x:c r="J75" s="303" t="str">
        <x:v>No Wexner role appears in the complete exact-charter filing history</x:v>
      </x:c>
      <x:c r="K75" s="303" t="str">
        <x:v>1988-03-04 to 1988-12-28</x:v>
      </x:c>
      <x:c r="L75" s="303" t="str">
        <x:v>complete primary Ohio filing history and images confirmed; property records not searched</x:v>
      </x:c>
      <x:c r="M75" s="303" t="str">
        <x:v>Dissolved 1988-12-28 after an unnamed sole-shareholder resolution; no merger or asset recipient identified</x:v>
      </x:c>
      <x:c r="N75" s="303" t="str">
        <x:v>property-record follow-up</x:v>
      </x:c>
      <x:c r="O75" s="303" t="str">
        <x:v>G339_1110;G532_1060;FINDING:14584;OH-SOS:728764:G532_0974</x:v>
      </x:c>
      <x:c r="P75" s="303"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76" ht="64" customHeight="1">
      <x:c r="A76" s="303" t="str">
        <x:v>CASELIN DEVELOPMENT CORPORATION</x:v>
      </x:c>
      <x:c r="B76" s="303"/>
      <x:c r="C76" s="303" t="str">
        <x:v>Ohio corporation / candidate property vehicle</x:v>
      </x:c>
      <x:c r="D76" s="303" t="str">
        <x:v>Ohio</x:v>
      </x:c>
      <x:c r="E76" s="303" t="str">
        <x:v>720246</x:v>
      </x:c>
      <x:c r="F76" s="303" t="str">
        <x:v>dissolved</x:v>
      </x:c>
      <x:c r="G76" s="303" t="str">
        <x:v>c/o Schwartz, Kelm, Warren &amp; Rubenstein, 41 S. High Street, Suite 2300, Columbus, Ohio 43215</x:v>
      </x:c>
      <x:c r="H76" s="303" t="str">
        <x:v>No deed or parcel verified in this filing-history review</x:v>
      </x:c>
      <x:c r="I76" s="303" t="str">
        <x:v>Not named in complete live exact-charter filing history</x:v>
      </x:c>
      <x:c r="J76" s="303" t="str">
        <x:v>Not named in complete live exact-charter filing history</x:v>
      </x:c>
      <x:c r="K76" s="303" t="str">
        <x:v>1988-03-09 to 1988-12-28</x:v>
      </x:c>
      <x:c r="L76" s="303" t="str">
        <x:v>primary Ohio filing images confirmed; property identity unverified</x:v>
      </x:c>
      <x:c r="M76" s="303" t="str">
        <x:v>Dissolved 1988-12-28; no merger or asset recipient identified</x:v>
      </x:c>
      <x:c r="N76" s="303" t="str">
        <x:v>candidate</x:v>
      </x:c>
      <x:c r="O76" s="303" t="str">
        <x:v>G342_0153;G532_1000;FINDING:14586;OH-SOS:728764:G532_0974</x:v>
      </x:c>
      <x:c r="P76" s="303" t="str">
        <x:v>Development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row>
    <x:row r="77" ht="64" customHeight="1">
      <x:c r="A77" s="303" t="str">
        <x:v>FORMAN FARMS, INC.</x:v>
      </x:c>
      <x:c r="B77" s="303"/>
      <x:c r="C77" s="303" t="str">
        <x:v>Ohio corporation / candidate property vehicle</x:v>
      </x:c>
      <x:c r="D77" s="303" t="str">
        <x:v>Ohio</x:v>
      </x:c>
      <x:c r="E77" s="303" t="str">
        <x:v>720360</x:v>
      </x:c>
      <x:c r="F77" s="303" t="str">
        <x:v>dissolved</x:v>
      </x:c>
      <x:c r="G77" s="303" t="str">
        <x:v>c/o Schwartz, Kelm, Warren &amp; Rubenstein, 41 S. High Street, Suite 2300, Columbus, Ohio 43215</x:v>
      </x:c>
      <x:c r="H77" s="303" t="str">
        <x:v>No deed or parcel verified in this filing-history review</x:v>
      </x:c>
      <x:c r="I77" s="303" t="str">
        <x:v>Not named in complete live exact-charter filing history</x:v>
      </x:c>
      <x:c r="J77" s="303" t="str">
        <x:v>Not named in complete live exact-charter filing history</x:v>
      </x:c>
      <x:c r="K77" s="303" t="str">
        <x:v>1988-03-09 to 1988-12-28</x:v>
      </x:c>
      <x:c r="L77" s="303" t="str">
        <x:v>primary Ohio filing images confirmed; property identity unverified</x:v>
      </x:c>
      <x:c r="M77" s="303" t="str">
        <x:v>Dissolved 1988-12-28; no merger or asset recipient identified</x:v>
      </x:c>
      <x:c r="N77" s="303" t="str">
        <x:v>candidate</x:v>
      </x:c>
      <x:c r="O77" s="303" t="str">
        <x:v>G343_0224; G532_1054;FINDING:14586</x:v>
      </x:c>
      <x:c r="P77" s="303" t="str">
        <x:v>Farms in the name supports a recorder search but does not prove landholding. Sole shareholder unnamed; no-personal-property affidavit does not address real estate.</x:v>
      </x:c>
    </x:row>
    <x:row r="78" ht="64" customHeight="1">
      <x:c r="A78" s="303" t="str">
        <x:v>SAREN INVESTMENTS INCORPORATED</x:v>
      </x:c>
      <x:c r="B78" s="303"/>
      <x:c r="C78" s="303" t="str">
        <x:v>Ohio corporation / candidate property vehicle</x:v>
      </x:c>
      <x:c r="D78" s="303" t="str">
        <x:v>Ohio</x:v>
      </x:c>
      <x:c r="E78" s="303" t="str">
        <x:v>720362</x:v>
      </x:c>
      <x:c r="F78" s="303" t="str">
        <x:v>dissolved</x:v>
      </x:c>
      <x:c r="G78" s="303" t="str">
        <x:v>c/o Schwartz, Kelm, Warren &amp; Rubenstein, 41 S. High Street, Suite 2300, Columbus, Ohio 43215</x:v>
      </x:c>
      <x:c r="H78" s="303" t="str">
        <x:v>No deed or parcel verified in this filing-history review</x:v>
      </x:c>
      <x:c r="I78" s="303" t="str">
        <x:v>Not named in complete live exact-charter filing history</x:v>
      </x:c>
      <x:c r="J78" s="303" t="str">
        <x:v>Not named in complete live exact-charter filing history</x:v>
      </x:c>
      <x:c r="K78" s="303" t="str">
        <x:v>1988-03-09 to 1988-12-28</x:v>
      </x:c>
      <x:c r="L78" s="303" t="str">
        <x:v>primary Ohio filing images confirmed; property identity unverified</x:v>
      </x:c>
      <x:c r="M78" s="303" t="str">
        <x:v>Dissolved 1988-12-28; no merger or asset recipient identified</x:v>
      </x:c>
      <x:c r="N78" s="303" t="str">
        <x:v>candidate</x:v>
      </x:c>
      <x:c r="O78" s="303" t="str">
        <x:v>G343_0238;G532_1216;FINDING:14586;OH-SOS:728764:G532_0974</x:v>
      </x:c>
      <x:c r="P78" s="303" t="str">
        <x:v>Investments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row>
    <x:row r="79" ht="64" customHeight="1">
      <x:c r="A79" s="303" t="str">
        <x:v>TANDEM INVESTMENTS INCORPORATED</x:v>
      </x:c>
      <x:c r="B79" s="303"/>
      <x:c r="C79" s="303" t="str">
        <x:v>Ohio corporation / candidate property vehicle</x:v>
      </x:c>
      <x:c r="D79" s="303" t="str">
        <x:v>Ohio</x:v>
      </x:c>
      <x:c r="E79" s="303" t="str">
        <x:v>720363</x:v>
      </x:c>
      <x:c r="F79" s="303" t="str">
        <x:v>dissolved</x:v>
      </x:c>
      <x:c r="G79" s="303" t="str">
        <x:v>c/o Schwartz, Kelm, Warren &amp; Rubenstein, 41 S. High Street, Suite 2300, Columbus, Ohio 43215</x:v>
      </x:c>
      <x:c r="H79" s="303" t="str">
        <x:v>No deed or parcel verified in this filing-history review</x:v>
      </x:c>
      <x:c r="I79" s="303" t="str">
        <x:v>Not named in complete live exact-charter filing history</x:v>
      </x:c>
      <x:c r="J79" s="303" t="str">
        <x:v>Not named in complete live exact-charter filing history</x:v>
      </x:c>
      <x:c r="K79" s="303" t="str">
        <x:v>1988-03-09 to 1988-12-28</x:v>
      </x:c>
      <x:c r="L79" s="303" t="str">
        <x:v>primary Ohio filing images confirmed; property identity unverified</x:v>
      </x:c>
      <x:c r="M79" s="303" t="str">
        <x:v>Dissolved 1988-12-28; no merger or asset recipient identified</x:v>
      </x:c>
      <x:c r="N79" s="303" t="str">
        <x:v>candidate</x:v>
      </x:c>
      <x:c r="O79" s="303" t="str">
        <x:v>G343_0245;G532_1222;FINDING:14586;OH-SOS:728764:G532_0974</x:v>
      </x:c>
      <x:c r="P79" s="303" t="str">
        <x:v>Investments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row>
    <x:row r="80" ht="64" customHeight="1">
      <x:c r="A80" s="303" t="str">
        <x:v>VILLAGE ACRES, INC.</x:v>
      </x:c>
      <x:c r="B80" s="303"/>
      <x:c r="C80" s="303" t="str">
        <x:v>Ohio corporation / candidate property vehicle</x:v>
      </x:c>
      <x:c r="D80" s="303" t="str">
        <x:v>Ohio</x:v>
      </x:c>
      <x:c r="E80" s="303" t="str">
        <x:v>720365</x:v>
      </x:c>
      <x:c r="F80" s="303" t="str">
        <x:v>dissolved</x:v>
      </x:c>
      <x:c r="G80" s="303" t="str">
        <x:v>c/o Schwartz, Kelm, Warren &amp; Rubenstein, 41 S. High Street, Suite 2300, Columbus, Ohio 43215</x:v>
      </x:c>
      <x:c r="H80" s="303" t="str">
        <x:v>No deed or parcel verified in this filing-history review</x:v>
      </x:c>
      <x:c r="I80" s="303" t="str">
        <x:v>Not named in complete live exact-charter filing history</x:v>
      </x:c>
      <x:c r="J80" s="303" t="str">
        <x:v>Not named in complete live exact-charter filing history</x:v>
      </x:c>
      <x:c r="K80" s="303" t="str">
        <x:v>1988-03-09 to 1988-12-28</x:v>
      </x:c>
      <x:c r="L80" s="303" t="str">
        <x:v>primary Ohio filing images confirmed; property identity unverified</x:v>
      </x:c>
      <x:c r="M80" s="303" t="str">
        <x:v>Dissolved 1988-12-28; no merger or asset recipient identified</x:v>
      </x:c>
      <x:c r="N80" s="303" t="str">
        <x:v>candidate</x:v>
      </x:c>
      <x:c r="O80" s="303" t="str">
        <x:v>G343_0259;G532_1240;FINDING:14586;OH-SOS:728764:G532_0974</x:v>
      </x:c>
      <x:c r="P80" s="303" t="str">
        <x:v>Acres in the name supports a recorder search but does not prove landholding. Sole shareholder unnamed; no-personal-property affidavit does not address real estate. Argotron G532_0974 p.7 establishes inclusion in a 46-company administrative dissolution batch; it does not establish common ownership, common control, a shared property portfolio, or beneficial ownership.</x:v>
      </x:c>
    </x:row>
    <x:row r="81" ht="64" customHeight="1">
      <x:c r="A81" s="303" t="str">
        <x:v>Bluffton Holding Corporation</x:v>
      </x:c>
      <x:c r="B81" s="303" t="str">
        <x:v>Bluffton Holding Corp.</x:v>
      </x:c>
      <x:c r="C81" s="303" t="str">
        <x:v>Ohio corporation / verified merger predecessor and holding-property lead</x:v>
      </x:c>
      <x:c r="D81" s="303" t="str">
        <x:v>Ohio</x:v>
      </x:c>
      <x:c r="E81" s="303" t="str">
        <x:v>724612</x:v>
      </x:c>
      <x:c r="F81" s="303" t="str">
        <x:v>dead / merged out</x:v>
      </x:c>
      <x:c r="G81" s="303" t="str">
        <x:v>41 S High St., Suite 2300, Columbus; MEX status returned to 5906 E Dublin-Granville Rd., New Albany</x:v>
      </x:c>
      <x:c r="H81" s="303" t="str">
        <x:v>No parcel or deed verified</x:v>
      </x:c>
      <x:c r="I81" s="303" t="str">
        <x:v>No Epstein role appears in the available exact-charter or merger packets</x:v>
      </x:c>
      <x:c r="J81" s="303" t="str">
        <x:v>New Albany Company received processing correspondence but was not a named merger constituent</x:v>
      </x:c>
      <x:c r="K81" s="303" t="str">
        <x:v>1988-1995</x:v>
      </x:c>
      <x:c r="L81" s="303" t="str">
        <x:v>primary available Ohio images and substantive merger certificate confirmed; two history images unavailable</x:v>
      </x:c>
      <x:c r="M81" s="303" t="str">
        <x:v>Merged into Eastern Ohio Holding Company 1995-12-29</x:v>
      </x:c>
      <x:c r="N81" s="303" t="str">
        <x:v>successor-aware property pivot</x:v>
      </x:c>
      <x:c r="O81" s="303" t="str">
        <x:v>G379_0198;5422_1190;5422_1200;FINDING:14585;FINDING:14646</x:v>
      </x:c>
      <x:c r="P81" s="303" t="str">
        <x:v>Holding-name signal is not title evidence. Search Bluffton through the merger date and Eastern Ohio afterward.</x:v>
      </x:c>
    </x:row>
    <x:row r="82" ht="64" customHeight="1">
      <x:c r="A82" s="303" t="str">
        <x:v>Diamond Development Company</x:v>
      </x:c>
      <x:c r="B82" s="303" t="str">
        <x:v>Diamond Development Co.</x:v>
      </x:c>
      <x:c r="C82" s="303" t="str">
        <x:v>Ohio corporation / development-name candidate</x:v>
      </x:c>
      <x:c r="D82" s="303" t="str">
        <x:v>Ohio</x:v>
      </x:c>
      <x:c r="E82" s="303" t="str">
        <x:v>724613</x:v>
      </x:c>
      <x:c r="F82" s="303" t="str">
        <x:v>dead / dissolved</x:v>
      </x:c>
      <x:c r="G82" s="303" t="str">
        <x:v>41 S High St., Suite 2300 and 23rd Floor, Columbus, OH</x:v>
      </x:c>
      <x:c r="H82" s="303" t="str">
        <x:v>No parcel or deed verified; official Franklin property source not integrated</x:v>
      </x:c>
      <x:c r="I82" s="303" t="str">
        <x:v>No Epstein role appears in the exact articles or dissolution packet</x:v>
      </x:c>
      <x:c r="J82" s="303" t="str">
        <x:v>No Wexner role appears in the exact articles or dissolution packet</x:v>
      </x:c>
      <x:c r="K82" s="303" t="str">
        <x:v>1988</x:v>
      </x:c>
      <x:c r="L82" s="303" t="str">
        <x:v>primary Ohio filing images confirmed; property source unavailable</x:v>
      </x:c>
      <x:c r="M82" s="303" t="str">
        <x:v>Dissolved 1988-12-28; sole shareholder unnamed</x:v>
      </x:c>
      <x:c r="N82" s="303" t="str">
        <x:v>bounded recorder follow-up</x:v>
      </x:c>
      <x:c r="O82" s="303" t="str">
        <x:v>G379_0205;G532_1024;FINDING:14585;OH-SOS:728764:G532_0974</x:v>
      </x:c>
      <x:c r="P82" s="303"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3" ht="64" customHeight="1">
      <x:c r="A83" s="303" t="str">
        <x:v>Doncaster Development, Inc.</x:v>
      </x:c>
      <x:c r="B83" s="303" t="str">
        <x:v>Doncaster Development Inc.</x:v>
      </x:c>
      <x:c r="C83" s="303" t="str">
        <x:v>Ohio corporation / development-name candidate</x:v>
      </x:c>
      <x:c r="D83" s="303" t="str">
        <x:v>Ohio</x:v>
      </x:c>
      <x:c r="E83" s="303" t="str">
        <x:v>724614</x:v>
      </x:c>
      <x:c r="F83" s="303" t="str">
        <x:v>dead / dissolved</x:v>
      </x:c>
      <x:c r="G83" s="303" t="str">
        <x:v>41 S High St., Suite 2300 and 23rd Floor, Columbus, OH</x:v>
      </x:c>
      <x:c r="H83" s="303" t="str">
        <x:v>No parcel or deed verified; official Franklin property source not integrated</x:v>
      </x:c>
      <x:c r="I83" s="303" t="str">
        <x:v>No Epstein role appears in the exact articles or dissolution packet</x:v>
      </x:c>
      <x:c r="J83" s="303" t="str">
        <x:v>No Wexner role appears in the exact articles or dissolution packet</x:v>
      </x:c>
      <x:c r="K83" s="303" t="str">
        <x:v>1988</x:v>
      </x:c>
      <x:c r="L83" s="303" t="str">
        <x:v>primary Ohio filing images confirmed; property source unavailable</x:v>
      </x:c>
      <x:c r="M83" s="303" t="str">
        <x:v>Dissolved 1988-12-28; sole shareholder unnamed</x:v>
      </x:c>
      <x:c r="N83" s="303" t="str">
        <x:v>bounded recorder follow-up</x:v>
      </x:c>
      <x:c r="O83" s="303" t="str">
        <x:v>G379_0211;G532_1030;FINDING:14585;OH-SOS:728764:G532_0974</x:v>
      </x:c>
      <x:c r="P83" s="303"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4" ht="64" customHeight="1">
      <x:c r="A84" s="303" t="str">
        <x:v>Farmington Developers, Inc.</x:v>
      </x:c>
      <x:c r="B84" s="303" t="str">
        <x:v>Farmington Developers Inc.</x:v>
      </x:c>
      <x:c r="C84" s="303" t="str">
        <x:v>Ohio corporation / development-name candidate</x:v>
      </x:c>
      <x:c r="D84" s="303" t="str">
        <x:v>Ohio</x:v>
      </x:c>
      <x:c r="E84" s="303" t="str">
        <x:v>724616</x:v>
      </x:c>
      <x:c r="F84" s="303" t="str">
        <x:v>dead / dissolved</x:v>
      </x:c>
      <x:c r="G84" s="303" t="str">
        <x:v>41 S High St., Suite 2300 and 23rd Floor, Columbus, OH</x:v>
      </x:c>
      <x:c r="H84" s="303" t="str">
        <x:v>No parcel or deed verified; official Franklin property source not integrated</x:v>
      </x:c>
      <x:c r="I84" s="303" t="str">
        <x:v>No Epstein role appears in the exact articles or dissolution packet</x:v>
      </x:c>
      <x:c r="J84" s="303" t="str">
        <x:v>No Wexner role appears in the exact articles or dissolution packet</x:v>
      </x:c>
      <x:c r="K84" s="303" t="str">
        <x:v>1988</x:v>
      </x:c>
      <x:c r="L84" s="303" t="str">
        <x:v>primary Ohio filing images confirmed; property source unavailable</x:v>
      </x:c>
      <x:c r="M84" s="303" t="str">
        <x:v>Dissolved 1988-12-28; sole shareholder unnamed</x:v>
      </x:c>
      <x:c r="N84" s="303" t="str">
        <x:v>bounded recorder follow-up</x:v>
      </x:c>
      <x:c r="O84" s="303" t="str">
        <x:v>G379_0223;G532_1042;FINDING:14585;OH-SOS:728764:G532_0974</x:v>
      </x:c>
      <x:c r="P84" s="303"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5" ht="64" customHeight="1">
      <x:c r="A85" s="303" t="str">
        <x:v>Melleric Corporation</x:v>
      </x:c>
      <x:c r="B85" s="303" t="str">
        <x:v>Melleric Corp.</x:v>
      </x:c>
      <x:c r="C85" s="303" t="str">
        <x:v>Ohio corporation / administrative candidate</x:v>
      </x:c>
      <x:c r="D85" s="303" t="str">
        <x:v>Ohio</x:v>
      </x:c>
      <x:c r="E85" s="303" t="str">
        <x:v>724619</x:v>
      </x:c>
      <x:c r="F85" s="303" t="str">
        <x:v>dead / dissolved</x:v>
      </x:c>
      <x:c r="G85" s="303" t="str">
        <x:v>41 S High St., Suite 2300 and 23rd Floor, Columbus, OH</x:v>
      </x:c>
      <x:c r="H85" s="303" t="str">
        <x:v>No parcel or deed verified; official Franklin property source not integrated</x:v>
      </x:c>
      <x:c r="I85" s="303" t="str">
        <x:v>No Epstein role appears in the exact articles or dissolution packet</x:v>
      </x:c>
      <x:c r="J85" s="303" t="str">
        <x:v>No Wexner role appears in the exact articles or dissolution packet</x:v>
      </x:c>
      <x:c r="K85" s="303" t="str">
        <x:v>1988</x:v>
      </x:c>
      <x:c r="L85" s="303" t="str">
        <x:v>primary Ohio filing images confirmed; property source unavailable</x:v>
      </x:c>
      <x:c r="M85" s="303" t="str">
        <x:v>Dissolved 1988-12-28; sole shareholder unnamed</x:v>
      </x:c>
      <x:c r="N85" s="303" t="str">
        <x:v>bounded recorder follow-up</x:v>
      </x:c>
      <x:c r="O85" s="303" t="str">
        <x:v>G379_0241;G532_1138;FINDING:14585;OH-SOS:728764:G532_0974</x:v>
      </x:c>
      <x:c r="P85" s="303"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6" ht="64" customHeight="1">
      <x:c r="A86" s="303" t="str">
        <x:v>Union Holding Corporation</x:v>
      </x:c>
      <x:c r="B86" s="303" t="str">
        <x:v>Union Holding Corp.</x:v>
      </x:c>
      <x:c r="C86" s="303" t="str">
        <x:v>Ohio corporation / verified merger predecessor and holding-property lead</x:v>
      </x:c>
      <x:c r="D86" s="303" t="str">
        <x:v>Ohio</x:v>
      </x:c>
      <x:c r="E86" s="303" t="str">
        <x:v>724621</x:v>
      </x:c>
      <x:c r="F86" s="303" t="str">
        <x:v>dead / merged out</x:v>
      </x:c>
      <x:c r="G86" s="303" t="str">
        <x:v>41 S High St., Suite 2300, Columbus; MEX status returned to 5906 E Dublin-Granville Rd., New Albany</x:v>
      </x:c>
      <x:c r="H86" s="303" t="str">
        <x:v>No parcel or deed verified</x:v>
      </x:c>
      <x:c r="I86" s="303" t="str">
        <x:v>No Epstein role appears in the available exact-charter or merger packets</x:v>
      </x:c>
      <x:c r="J86" s="303" t="str">
        <x:v>New Albany Company received processing correspondence but was not a named merger constituent</x:v>
      </x:c>
      <x:c r="K86" s="303" t="str">
        <x:v>1988-1995</x:v>
      </x:c>
      <x:c r="L86" s="303" t="str">
        <x:v>primary available Ohio images and substantive merger certificate confirmed; two history images unavailable</x:v>
      </x:c>
      <x:c r="M86" s="303" t="str">
        <x:v>Merged into Eastern Ohio Holding Company 1995-12-29</x:v>
      </x:c>
      <x:c r="N86" s="303" t="str">
        <x:v>successor-aware property pivot</x:v>
      </x:c>
      <x:c r="O86" s="303" t="str">
        <x:v>G379_0253;5422_1190;5422_1206;FINDING:14585;FINDING:14646</x:v>
      </x:c>
      <x:c r="P86" s="303" t="str">
        <x:v>Holding-name signal is not title evidence. Search Union through the merger date and Eastern Ohio afterward.</x:v>
      </x:c>
    </x:row>
    <x:row r="87" ht="64" customHeight="1">
      <x:c r="A87" s="303" t="str">
        <x:v>Jetner Corporation</x:v>
      </x:c>
      <x:c r="B87" s="303" t="str">
        <x:v>Jetner Corp.</x:v>
      </x:c>
      <x:c r="C87" s="303" t="str">
        <x:v>Ohio corporation / administrative-batch candidate</x:v>
      </x:c>
      <x:c r="D87" s="303" t="str">
        <x:v>Ohio</x:v>
      </x:c>
      <x:c r="E87" s="303" t="str">
        <x:v>731360</x:v>
      </x:c>
      <x:c r="F87" s="303" t="str">
        <x:v>dead / dissolved</x:v>
      </x:c>
      <x:c r="G87" s="303" t="str">
        <x:v>41 S High St., Suite 2300 and 23rd Floor, Columbus, OH 43215</x:v>
      </x:c>
      <x:c r="H87" s="303" t="str">
        <x:v>No parcel or deed verified; SOS packets identify none and official Franklin property source is not integrated</x:v>
      </x:c>
      <x:c r="I87" s="303" t="str">
        <x:v>No Epstein role appears in the exact articles or dissolution packet</x:v>
      </x:c>
      <x:c r="J87" s="303" t="str">
        <x:v>No Wexner role appears in the exact articles or dissolution packet</x:v>
      </x:c>
      <x:c r="K87" s="303" t="str">
        <x:v>1988</x:v>
      </x:c>
      <x:c r="L87" s="303" t="str">
        <x:v>primary Ohio filing images confirmed; property source unavailable</x:v>
      </x:c>
      <x:c r="M87" s="303" t="str">
        <x:v>Dissolved 1988-12-28; sole shareholder unnamed</x:v>
      </x:c>
      <x:c r="N87" s="303" t="str">
        <x:v>bounded recorder follow-up</x:v>
      </x:c>
      <x:c r="O87" s="303" t="str">
        <x:v>G456_0331;G532_1114;FINDING:14587;OH-SOS:728764:G532_0974</x:v>
      </x:c>
      <x:c r="P87" s="303"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8" ht="64" customHeight="1">
      <x:c r="A88" s="303" t="str">
        <x:v>Mentin Products, Inc.</x:v>
      </x:c>
      <x:c r="B88" s="303" t="str">
        <x:v>Mentin Products Inc.; Mentin Products</x:v>
      </x:c>
      <x:c r="C88" s="303" t="str">
        <x:v>Ohio corporation / administrative-batch candidate</x:v>
      </x:c>
      <x:c r="D88" s="303" t="str">
        <x:v>Ohio</x:v>
      </x:c>
      <x:c r="E88" s="303" t="str">
        <x:v>731361</x:v>
      </x:c>
      <x:c r="F88" s="303" t="str">
        <x:v>dead / dissolved</x:v>
      </x:c>
      <x:c r="G88" s="303" t="str">
        <x:v>41 S High St., Suite 2300 and 23rd Floor, Columbus, OH 43215</x:v>
      </x:c>
      <x:c r="H88" s="303" t="str">
        <x:v>No parcel or deed verified; SOS packets identify none and official Franklin property source is not integrated</x:v>
      </x:c>
      <x:c r="I88" s="303" t="str">
        <x:v>No Epstein role appears in the exact articles or dissolution packet</x:v>
      </x:c>
      <x:c r="J88" s="303" t="str">
        <x:v>No Wexner role appears in the exact articles or dissolution packet</x:v>
      </x:c>
      <x:c r="K88" s="303" t="str">
        <x:v>1988</x:v>
      </x:c>
      <x:c r="L88" s="303" t="str">
        <x:v>primary Ohio filing images confirmed; property source unavailable</x:v>
      </x:c>
      <x:c r="M88" s="303" t="str">
        <x:v>Dissolved 1988-12-28; sole shareholder unnamed</x:v>
      </x:c>
      <x:c r="N88" s="303" t="str">
        <x:v>bounded recorder follow-up</x:v>
      </x:c>
      <x:c r="O88" s="303" t="str">
        <x:v>G456_0338;G532_1144;FINDING:14587;OH-SOS:728764:G532_0974</x:v>
      </x:c>
      <x:c r="P88" s="303"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89" ht="64" customHeight="1">
      <x:c r="A89" s="303" t="str">
        <x:v>Chatten Marketing Company</x:v>
      </x:c>
      <x:c r="B89" s="303" t="str">
        <x:v>Chatten Marketing Co.; Chatten Marketing</x:v>
      </x:c>
      <x:c r="C89" s="303" t="str">
        <x:v>Ohio corporation / administrative-batch candidate</x:v>
      </x:c>
      <x:c r="D89" s="303" t="str">
        <x:v>Ohio</x:v>
      </x:c>
      <x:c r="E89" s="303" t="str">
        <x:v>731362</x:v>
      </x:c>
      <x:c r="F89" s="303" t="str">
        <x:v>dead / dissolved</x:v>
      </x:c>
      <x:c r="G89" s="303" t="str">
        <x:v>41 S High St., Suite 2300 and 23rd Floor, Columbus, OH 43215</x:v>
      </x:c>
      <x:c r="H89" s="303" t="str">
        <x:v>No parcel or deed verified; SOS packets identify none and official Franklin property source is not integrated</x:v>
      </x:c>
      <x:c r="I89" s="303" t="str">
        <x:v>No Epstein role appears in the exact articles or dissolution packet</x:v>
      </x:c>
      <x:c r="J89" s="303" t="str">
        <x:v>No Wexner role appears in the exact articles or dissolution packet</x:v>
      </x:c>
      <x:c r="K89" s="303" t="str">
        <x:v>1988</x:v>
      </x:c>
      <x:c r="L89" s="303" t="str">
        <x:v>primary Ohio filing images confirmed; property source unavailable</x:v>
      </x:c>
      <x:c r="M89" s="303" t="str">
        <x:v>Dissolved 1988-12-28; sole shareholder unnamed</x:v>
      </x:c>
      <x:c r="N89" s="303" t="str">
        <x:v>bounded recorder follow-up</x:v>
      </x:c>
      <x:c r="O89" s="303" t="str">
        <x:v>G456_0344;G532_1006;FINDING:14587;OH-SOS:728764:G532_0974</x:v>
      </x:c>
      <x:c r="P89" s="303"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90" ht="64" customHeight="1">
      <x:c r="A90" s="303" t="str">
        <x:v>Fantel Products Company</x:v>
      </x:c>
      <x:c r="B90" s="303" t="str">
        <x:v>Fantel Products Co.; Fantel Products</x:v>
      </x:c>
      <x:c r="C90" s="303" t="str">
        <x:v>Ohio corporation / administrative-batch candidate</x:v>
      </x:c>
      <x:c r="D90" s="303" t="str">
        <x:v>Ohio</x:v>
      </x:c>
      <x:c r="E90" s="303" t="str">
        <x:v>731363</x:v>
      </x:c>
      <x:c r="F90" s="303" t="str">
        <x:v>dead / dissolved</x:v>
      </x:c>
      <x:c r="G90" s="303" t="str">
        <x:v>41 S High St., Suite 2300 and 23rd Floor, Columbus, OH 43215</x:v>
      </x:c>
      <x:c r="H90" s="303" t="str">
        <x:v>No parcel or deed verified; SOS packets identify none and official Franklin property source is not integrated</x:v>
      </x:c>
      <x:c r="I90" s="303" t="str">
        <x:v>No Epstein role appears in the exact articles or dissolution packet</x:v>
      </x:c>
      <x:c r="J90" s="303" t="str">
        <x:v>No Wexner role appears in the exact articles or dissolution packet</x:v>
      </x:c>
      <x:c r="K90" s="303" t="str">
        <x:v>1988</x:v>
      </x:c>
      <x:c r="L90" s="303" t="str">
        <x:v>primary Ohio filing images confirmed; property source unavailable</x:v>
      </x:c>
      <x:c r="M90" s="303" t="str">
        <x:v>Dissolved 1988-12-28; sole shareholder unnamed</x:v>
      </x:c>
      <x:c r="N90" s="303" t="str">
        <x:v>bounded recorder follow-up</x:v>
      </x:c>
      <x:c r="O90" s="303" t="str">
        <x:v>G456_0350;G532_1036;FINDING:14587;OH-SOS:728764:G532_0974</x:v>
      </x:c>
      <x:c r="P90" s="303" t="str">
        <x:v>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91" ht="64" customHeight="1">
      <x:c r="A91" s="303" t="str">
        <x:v>Indico Investments, Inc.</x:v>
      </x:c>
      <x:c r="B91" s="303" t="str">
        <x:v>Indico Investments Inc.; Indico Investments</x:v>
      </x:c>
      <x:c r="C91" s="303" t="str">
        <x:v>Ohio corporation / investment-name property-vehicle candidate</x:v>
      </x:c>
      <x:c r="D91" s="303" t="str">
        <x:v>Ohio</x:v>
      </x:c>
      <x:c r="E91" s="303" t="str">
        <x:v>731365</x:v>
      </x:c>
      <x:c r="F91" s="303" t="str">
        <x:v>dead / dissolved</x:v>
      </x:c>
      <x:c r="G91" s="303" t="str">
        <x:v>41 S High St., Suite 2300 and 23rd Floor, Columbus, OH 43215</x:v>
      </x:c>
      <x:c r="H91" s="303" t="str">
        <x:v>No parcel or deed verified; SOS packets identify none and official Franklin property source is not integrated</x:v>
      </x:c>
      <x:c r="I91" s="303" t="str">
        <x:v>No Epstein role appears in the exact articles or dissolution packet</x:v>
      </x:c>
      <x:c r="J91" s="303" t="str">
        <x:v>No Wexner role appears in the exact articles or dissolution packet</x:v>
      </x:c>
      <x:c r="K91" s="303" t="str">
        <x:v>1988</x:v>
      </x:c>
      <x:c r="L91" s="303" t="str">
        <x:v>primary Ohio filing images confirmed; property source unavailable</x:v>
      </x:c>
      <x:c r="M91" s="303" t="str">
        <x:v>Dissolved 1988-12-28; sole shareholder unnamed</x:v>
      </x:c>
      <x:c r="N91" s="303" t="str">
        <x:v>higher-priority recorder follow-up</x:v>
      </x:c>
      <x:c r="O91" s="303" t="str">
        <x:v>G456_0362;G532_1102;FINDING:14587;OH-SOS:728764:G532_0974</x:v>
      </x:c>
      <x:c r="P91" s="303" t="str">
        <x:v>Investments is a triage signal, not proof of assets or property. The no-personal-property affidavit does not address real estate. Shared counsel and dates establish only an administrative cluster. Argotron G532_0974 p.7 establishes inclusion in a 46-company administrative dissolution batch; it does not establish common ownership, common control, a shared property portfolio, or beneficial ownership.</x:v>
      </x:c>
    </x:row>
    <x:row r="92" ht="64" customHeight="1">
      <x:c r="A92" s="303" t="str">
        <x:v>London Kitchens, Inc.</x:v>
      </x:c>
      <x:c r="B92" s="303" t="str">
        <x:v>London Kitchens Inc.; Ohio 686610</x:v>
      </x:c>
      <x:c r="C92" s="303" t="str">
        <x:v>Ohio corporation / cabinetry retailer</x:v>
      </x:c>
      <x:c r="D92" s="303" t="str">
        <x:v>Ohio</x:v>
      </x:c>
      <x:c r="E92" s="303" t="str">
        <x:v>686610</x:v>
      </x:c>
      <x:c r="F92" s="303" t="str">
        <x:v>cancelled</x:v>
      </x:c>
      <x:c r="G92" s="303" t="str">
        <x:v>Principal office Columbus, Franklin County; agent at 41 S High St., Columbus</x:v>
      </x:c>
      <x:c r="H92" s="303" t="str">
        <x:v>No parcel or deed verified; official Franklin property source not integrated</x:v>
      </x:c>
      <x:c r="I92" s="303" t="str">
        <x:v>No Epstein role appears in the available articles packet</x:v>
      </x:c>
      <x:c r="J92" s="303" t="str">
        <x:v>No Wexner role appears in the available articles packet</x:v>
      </x:c>
      <x:c r="K92" s="303" t="str">
        <x:v>1986-1991</x:v>
      </x:c>
      <x:c r="L92" s="303" t="str">
        <x:v>primary available Ohio image confirmed; terminal image unavailable</x:v>
      </x:c>
      <x:c r="M92" s="303" t="str">
        <x:v>Tax Department cancellation 1991-12-16; row image unavailable</x:v>
      </x:c>
      <x:c r="N92" s="303" t="str">
        <x:v>bounded recorder follow-up</x:v>
      </x:c>
      <x:c r="O92" s="303" t="str">
        <x:v>G015_1204; 000000061029; FINDING:14588</x:v>
      </x:c>
      <x:c r="P92" s="303" t="str">
        <x:v>Brown was incorporator and Snow agent; the packet does not establish Snow ownership or an officer role.</x:v>
      </x:c>
    </x:row>
    <x:row r="93" ht="64" customHeight="1">
      <x:c r="A93" s="303" t="str">
        <x:v>London Kitchens Insurance Agency, Inc.</x:v>
      </x:c>
      <x:c r="B93" s="303" t="str">
        <x:v>London Kitchens Insurance Agency Inc.; Ohio 706947</x:v>
      </x:c>
      <x:c r="C93" s="303" t="str">
        <x:v>Ohio corporation / insurance agency</x:v>
      </x:c>
      <x:c r="D93" s="303" t="str">
        <x:v>Ohio</x:v>
      </x:c>
      <x:c r="E93" s="303" t="str">
        <x:v>706947</x:v>
      </x:c>
      <x:c r="F93" s="303" t="str">
        <x:v>dead / dissolved</x:v>
      </x:c>
      <x:c r="G93" s="303" t="str">
        <x:v>3910 Groves Rd., Columbus principal office; agent at 41 S High St., Columbus</x:v>
      </x:c>
      <x:c r="H93" s="303" t="str">
        <x:v>No parcel or deed verified; principal-office address is not title evidence</x:v>
      </x:c>
      <x:c r="I93" s="303" t="str">
        <x:v>No Epstein role appears in the complete exact-charter packets</x:v>
      </x:c>
      <x:c r="J93" s="303" t="str">
        <x:v>No Wexner role appears in the complete exact-charter packets</x:v>
      </x:c>
      <x:c r="K93" s="303" t="str">
        <x:v>1987-1989</x:v>
      </x:c>
      <x:c r="L93" s="303" t="str">
        <x:v>primary Ohio articles and dissolution images confirmed</x:v>
      </x:c>
      <x:c r="M93" s="303" t="str">
        <x:v>Dissolved by sole incorporator 1989-05-31</x:v>
      </x:c>
      <x:c r="N93" s="303" t="str">
        <x:v>bounded recorder follow-up</x:v>
      </x:c>
      <x:c r="O93" s="303" t="str">
        <x:v>G222_0344; G636_0276; FINDING:14588</x:v>
      </x:c>
      <x:c r="P93" s="303" t="str">
        <x:v>Parker was incorporator and Snow statutory agent. The dissolution form's alternative statutory grounds do not identify which prong applied.</x:v>
      </x:c>
    </x:row>
    <x:row r="94" ht="64" customHeight="1">
      <x:c r="A94" s="303" t="str">
        <x:v>First Columbus Land Company</x:v>
      </x:c>
      <x:c r="B94" s="303" t="str">
        <x:v>First Columbus Land Co.; Ohio 785297</x:v>
      </x:c>
      <x:c r="C94" s="303" t="str">
        <x:v>Ohio corporation / land-name property candidate</x:v>
      </x:c>
      <x:c r="D94" s="303" t="str">
        <x:v>Ohio</x:v>
      </x:c>
      <x:c r="E94" s="303" t="str">
        <x:v>785297</x:v>
      </x:c>
      <x:c r="F94" s="303" t="str">
        <x:v>cancelled</x:v>
      </x:c>
      <x:c r="G94" s="303" t="str">
        <x:v>41 S High St., Suite 2300, Columbus, OH 43215</x:v>
      </x:c>
      <x:c r="H94" s="303" t="str">
        <x:v>No parcel or deed verified; official Franklin property source not integrated</x:v>
      </x:c>
      <x:c r="I94" s="303" t="str">
        <x:v>No Epstein role appears in the available formation packet</x:v>
      </x:c>
      <x:c r="J94" s="303" t="str">
        <x:v>No Wexner role appears in the available formation packet</x:v>
      </x:c>
      <x:c r="K94" s="303" t="str">
        <x:v>1990-1993</x:v>
      </x:c>
      <x:c r="L94" s="303" t="str">
        <x:v>primary formation image confirmed; two later rows unavailable</x:v>
      </x:c>
      <x:c r="M94" s="303" t="str">
        <x:v>Tax Department cancellation 1993-12-15; terminal image unavailable</x:v>
      </x:c>
      <x:c r="N94" s="303" t="str">
        <x:v>high-priority exact-name property search</x:v>
      </x:c>
      <x:c r="O94" s="303" t="str">
        <x:v>H016_0917; 000000695996; 000000695997; FINDING:14588</x:v>
      </x:c>
      <x:c r="P94" s="303" t="str">
        <x:v>Hipsher was incorporator and Snow original agent. Land in the name is a lead, not title evidence.</x:v>
      </x:c>
    </x:row>
    <x:row r="95" ht="64" customHeight="1">
      <x:c r="A95" s="303" t="str">
        <x:v>BREWHO! LLC</x:v>
      </x:c>
      <x:c r="B95" s="303" t="str">
        <x:v>Brewho LLC; Ohio 993710</x:v>
      </x:c>
      <x:c r="C95" s="303" t="str">
        <x:v>Ohio domestic LLC / primary filing unavailable</x:v>
      </x:c>
      <x:c r="D95" s="303" t="str">
        <x:v>Ohio</x:v>
      </x:c>
      <x:c r="E95" s="303" t="str">
        <x:v>993710</x:v>
      </x:c>
      <x:c r="F95" s="303" t="str">
        <x:v>active</x:v>
      </x:c>
      <x:c r="G95" s="303" t="str">
        <x:v>No address available from reviewed portal metadata</x:v>
      </x:c>
      <x:c r="H95" s="303" t="str">
        <x:v>Unassessed; organization filing image unavailable</x:v>
      </x:c>
      <x:c r="I95" s="303" t="str">
        <x:v>Unassessed; organization filing image unavailable</x:v>
      </x:c>
      <x:c r="J95" s="303" t="str">
        <x:v>Unassessed; organization filing image unavailable</x:v>
      </x:c>
      <x:c r="K95" s="303" t="str">
        <x:v>1997-present portal status</x:v>
      </x:c>
      <x:c r="L95" s="303" t="str">
        <x:v>live portal metadata confirmed; exact image endpoint HTTP 404</x:v>
      </x:c>
      <x:c r="M95" s="303" t="str">
        <x:v>Active; no terminal row</x:v>
      </x:c>
      <x:c r="N95" s="303" t="str">
        <x:v>request primary organization record</x:v>
      </x:c>
      <x:c r="O95" s="303" t="str">
        <x:v>6162_0568; FINDING:14588</x:v>
      </x:c>
      <x:c r="P95" s="303" t="str">
        <x:v>Do not code the unavailable packet as a negative person, owner, or property result.</x:v>
      </x:c>
    </x:row>
    <x:row r="96" ht="64" customHeight="1">
      <x:c r="A96" s="303" t="str">
        <x:v>Oakfield Enterprises, Inc.</x:v>
      </x:c>
      <x:c r="B96" s="303" t="str">
        <x:v>Oakfield Enterprises Inc.</x:v>
      </x:c>
      <x:c r="C96" s="303" t="str">
        <x:v>Ohio corporation / generic-name property lead</x:v>
      </x:c>
      <x:c r="D96" s="303" t="str">
        <x:v>Ohio</x:v>
      </x:c>
      <x:c r="E96" s="303" t="str">
        <x:v>713924</x:v>
      </x:c>
      <x:c r="F96" s="303" t="str">
        <x:v>dead / dissolved</x:v>
      </x:c>
      <x:c r="G96" s="303" t="str">
        <x:v>41 S. High St., Suite 2300 / 23rd Floor, Columbus, OH 43215</x:v>
      </x:c>
      <x:c r="H96" s="303" t="str">
        <x:v>No parcel is identified in the corporate packets; county property search not started</x:v>
      </x:c>
      <x:c r="I96" s="303" t="str">
        <x:v>No Epstein role appears in the complete exact-charter filing history</x:v>
      </x:c>
      <x:c r="J96" s="303" t="str">
        <x:v>No Wexner role appears in the complete exact-charter filing history</x:v>
      </x:c>
      <x:c r="K96" s="303" t="str">
        <x:v>1987-12-11 to 1988-12-28</x:v>
      </x:c>
      <x:c r="L96" s="303" t="str">
        <x:v>complete primary Ohio filing history and images confirmed; property records not searched</x:v>
      </x:c>
      <x:c r="M96" s="303" t="str">
        <x:v>Dissolved 1988-12-28 after an unnamed sole-shareholder resolution; no merger or asset recipient identified</x:v>
      </x:c>
      <x:c r="N96" s="303" t="str">
        <x:v>routine property-record follow-up</x:v>
      </x:c>
      <x:c r="O96" s="303" t="str">
        <x:v>G288_0306;G532_1168;FINDING:14589;OH-SOS:728764:G532_0974</x:v>
      </x:c>
      <x:c r="P96" s="303" t="str">
        <x:v>The dissolution's no-personal-property affidavit does not address real estate. Shared counsel, template, and dates do not establish ownership. Argotron G532_0974 p.7 establishes inclusion in a 46-company administrative dissolution batch; it does not establish common ownership, common control, a shared property portfolio, or beneficial ownership.</x:v>
      </x:c>
    </x:row>
    <x:row r="97" ht="64" customHeight="1">
      <x:c r="A97" s="303" t="str">
        <x:v>Wildwood Acres, Inc.</x:v>
      </x:c>
      <x:c r="B97" s="303" t="str">
        <x:v>Wildwood Acres Inc.</x:v>
      </x:c>
      <x:c r="C97" s="303" t="str">
        <x:v>Ohio corporation / acreage-name property lead</x:v>
      </x:c>
      <x:c r="D97" s="303" t="str">
        <x:v>Ohio</x:v>
      </x:c>
      <x:c r="E97" s="303" t="str">
        <x:v>713926</x:v>
      </x:c>
      <x:c r="F97" s="303" t="str">
        <x:v>dead / dissolved</x:v>
      </x:c>
      <x:c r="G97" s="303" t="str">
        <x:v>41 S. High St., Suite 2300 / 23rd Floor, Columbus, OH 43215</x:v>
      </x:c>
      <x:c r="H97" s="303" t="str">
        <x:v>No parcel is identified in the corporate packets; county property search not started</x:v>
      </x:c>
      <x:c r="I97" s="303" t="str">
        <x:v>No Epstein role appears in the complete exact-charter filing history</x:v>
      </x:c>
      <x:c r="J97" s="303" t="str">
        <x:v>No Wexner role appears in the complete exact-charter filing history</x:v>
      </x:c>
      <x:c r="K97" s="303" t="str">
        <x:v>1987-12-11 to 1988-12-28</x:v>
      </x:c>
      <x:c r="L97" s="303" t="str">
        <x:v>complete primary Ohio filing history and images confirmed; property records not searched</x:v>
      </x:c>
      <x:c r="M97" s="303" t="str">
        <x:v>Dissolved 1988-12-28 after an unnamed sole-shareholder resolution; no merger or asset recipient identified</x:v>
      </x:c>
      <x:c r="N97" s="303" t="str">
        <x:v>property-record follow-up</x:v>
      </x:c>
      <x:c r="O97" s="303" t="str">
        <x:v>G288_0318;G532_1252;FINDING:14589;OH-SOS:728764:G532_0974</x:v>
      </x:c>
      <x:c r="P97" s="303" t="str">
        <x:v>The acreage signal is a search lead, not proof of land ownership. The no-personal-property affidavit does not address real estate. Argotron G532_0974 p.7 establishes inclusion in a 46-company administrative dissolution batch; it does not establish common ownership, common control, a shared property portfolio, or beneficial ownership.</x:v>
      </x:c>
    </x:row>
    <x:row r="98" ht="64" customHeight="1">
      <x:c r="A98" s="303" t="str">
        <x:v>Cristah Corporation</x:v>
      </x:c>
      <x:c r="B98" s="303" t="str">
        <x:v>Cristah Corp.</x:v>
      </x:c>
      <x:c r="C98" s="303" t="str">
        <x:v>Ohio corporation / generic-name property lead</x:v>
      </x:c>
      <x:c r="D98" s="303" t="str">
        <x:v>Ohio</x:v>
      </x:c>
      <x:c r="E98" s="303" t="str">
        <x:v>733246</x:v>
      </x:c>
      <x:c r="F98" s="303" t="str">
        <x:v>dead / dissolved</x:v>
      </x:c>
      <x:c r="G98" s="303" t="str">
        <x:v>41 S. High St., Suite 2300 / 23rd Floor, Columbus, OH 43215</x:v>
      </x:c>
      <x:c r="H98" s="303" t="str">
        <x:v>No parcel is identified in the corporate packets; county property search not started</x:v>
      </x:c>
      <x:c r="I98" s="303" t="str">
        <x:v>No Epstein role appears in the complete exact-charter filing history</x:v>
      </x:c>
      <x:c r="J98" s="303" t="str">
        <x:v>No Wexner role appears in the complete exact-charter filing history</x:v>
      </x:c>
      <x:c r="K98" s="303" t="str">
        <x:v>1988-09-23 to 1988-12-28</x:v>
      </x:c>
      <x:c r="L98" s="303" t="str">
        <x:v>complete primary Ohio filing history and images confirmed; property records not searched</x:v>
      </x:c>
      <x:c r="M98" s="303" t="str">
        <x:v>Dissolved 1988-12-28 after an unnamed sole-shareholder resolution; no merger or asset recipient identified</x:v>
      </x:c>
      <x:c r="N98" s="303" t="str">
        <x:v>routine property-record follow-up</x:v>
      </x:c>
      <x:c r="O98" s="303" t="str">
        <x:v>G472_1825;G532_1018;FINDING:14589;OH-SOS:728764:G532_0974</x:v>
      </x:c>
      <x:c r="P98" s="303" t="str">
        <x:v>Primary packets identify CRISTAH CORPORATION; they do not validate Cristah Development Corporation as an alias. The no-personal-property affidavit does not address real estate. Argotron G532_0974 p.7 establishes inclusion in a 46-company administrative dissolution batch; it does not establish common ownership, common control, a shared property portfolio, or beneficial ownership.</x:v>
      </x:c>
    </x:row>
    <x:row r="99" ht="64" customHeight="1">
      <x:c r="A99" s="303" t="str">
        <x:v>Rettlin Investment Company</x:v>
      </x:c>
      <x:c r="B99" s="303" t="str">
        <x:v>Rettlin Investment Co.</x:v>
      </x:c>
      <x:c r="C99" s="303" t="str">
        <x:v>Ohio corporation / investment-name property lead</x:v>
      </x:c>
      <x:c r="D99" s="303" t="str">
        <x:v>Ohio</x:v>
      </x:c>
      <x:c r="E99" s="303" t="str">
        <x:v>733247</x:v>
      </x:c>
      <x:c r="F99" s="303" t="str">
        <x:v>dead / dissolved</x:v>
      </x:c>
      <x:c r="G99" s="303" t="str">
        <x:v>41 S. High St., Suite 2300 / 23rd Floor, Columbus, OH 43215</x:v>
      </x:c>
      <x:c r="H99" s="303" t="str">
        <x:v>No parcel is identified in the corporate packets; county property search not started</x:v>
      </x:c>
      <x:c r="I99" s="303" t="str">
        <x:v>No Epstein role appears in the complete exact-charter filing history</x:v>
      </x:c>
      <x:c r="J99" s="303" t="str">
        <x:v>No Wexner role appears in the complete exact-charter filing history</x:v>
      </x:c>
      <x:c r="K99" s="303" t="str">
        <x:v>1988-09-23 to 1988-12-28</x:v>
      </x:c>
      <x:c r="L99" s="303" t="str">
        <x:v>complete primary Ohio filing history and images confirmed; property records not searched</x:v>
      </x:c>
      <x:c r="M99" s="303" t="str">
        <x:v>Dissolved 1988-12-28 after an unnamed sole-shareholder resolution; no merger or asset recipient identified</x:v>
      </x:c>
      <x:c r="N99" s="303" t="str">
        <x:v>property-record follow-up</x:v>
      </x:c>
      <x:c r="O99" s="303" t="str">
        <x:v>G472_1832;G532_1198;FINDING:14589;OH-SOS:728764:G532_0974</x:v>
      </x:c>
      <x:c r="P99" s="303" t="str">
        <x:v>Primary packets identify RETTLIN INVESTMENT COMPANY; they do not validate Rettlin Investment Corporation as an alias. The investment signal is not proof of property ownership. Argotron G532_0974 p.7 establishes inclusion in a 46-company administrative dissolution batch; it does not establish common ownership, common control, a shared property portfolio, or beneficial ownership.</x:v>
      </x:c>
    </x:row>
    <x:row r="100" ht="64" customHeight="1">
      <x:c r="A100" s="303" t="str">
        <x:v>Wheaton Company</x:v>
      </x:c>
      <x:c r="B100" s="303" t="str">
        <x:v>Wheaton Co.</x:v>
      </x:c>
      <x:c r="C100" s="303" t="str">
        <x:v>Ohio corporation / general property-record lead</x:v>
      </x:c>
      <x:c r="D100" s="303" t="str">
        <x:v>Ohio</x:v>
      </x:c>
      <x:c r="E100" s="303" t="str">
        <x:v>728763</x:v>
      </x:c>
      <x:c r="F100" s="303" t="str">
        <x:v>dead / dissolved</x:v>
      </x:c>
      <x:c r="G100" s="303" t="str">
        <x:v>41 S. High St., Suite 2300 / 23rd Floor, Columbus, OH 43215</x:v>
      </x:c>
      <x:c r="H100" s="303" t="str">
        <x:v>No parcel is identified in the corporate packets; county property search not started</x:v>
      </x:c>
      <x:c r="I100" s="303" t="str">
        <x:v>No Epstein role appears in the complete exact-charter filing history</x:v>
      </x:c>
      <x:c r="J100" s="303" t="str">
        <x:v>No Wexner role appears in the complete exact-charter filing history</x:v>
      </x:c>
      <x:c r="K100" s="303" t="str">
        <x:v>1988-07-15 to 1988-12-28</x:v>
      </x:c>
      <x:c r="L100" s="303" t="str">
        <x:v>complete primary Ohio filing history and images confirmed; property records not searched</x:v>
      </x:c>
      <x:c r="M100" s="303" t="str">
        <x:v>Dissolved 1988-12-28 after an unnamed sole-shareholder resolution; no merger or asset recipient identified</x:v>
      </x:c>
      <x:c r="N100" s="303" t="str">
        <x:v>property-record follow-up</x:v>
      </x:c>
      <x:c r="O100" s="303" t="str">
        <x:v>G423_1517;G532_1246;G532_0974 p.7;FINDING:14590;OH-SOS:728764:G532_0974</x:v>
      </x:c>
      <x:c r="P100" s="303" t="str">
        <x:v>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row>
    <x:row r="101" ht="64" customHeight="1">
      <x:c r="A101" s="303" t="str">
        <x:v>Argotron Corporation</x:v>
      </x:c>
      <x:c r="B101" s="303" t="str">
        <x:v>Argotron Corp.</x:v>
      </x:c>
      <x:c r="C101" s="303" t="str">
        <x:v>Ohio corporation / general property-record lead</x:v>
      </x:c>
      <x:c r="D101" s="303" t="str">
        <x:v>Ohio</x:v>
      </x:c>
      <x:c r="E101" s="303" t="str">
        <x:v>728764</x:v>
      </x:c>
      <x:c r="F101" s="303" t="str">
        <x:v>dead / dissolved</x:v>
      </x:c>
      <x:c r="G101" s="303" t="str">
        <x:v>41 S. High St., Suite 2300 / 23rd Floor, Columbus, OH 43215</x:v>
      </x:c>
      <x:c r="H101" s="303" t="str">
        <x:v>No parcel is identified in the corporate packets; county property search not started</x:v>
      </x:c>
      <x:c r="I101" s="303" t="str">
        <x:v>No Epstein role appears in the complete exact-charter filing history</x:v>
      </x:c>
      <x:c r="J101" s="303" t="str">
        <x:v>No Wexner role appears in the complete exact-charter filing history</x:v>
      </x:c>
      <x:c r="K101" s="303" t="str">
        <x:v>1988-07-15 to 1988-12-28</x:v>
      </x:c>
      <x:c r="L101" s="303" t="str">
        <x:v>complete primary Ohio filing history and images confirmed; property records not searched</x:v>
      </x:c>
      <x:c r="M101" s="303" t="str">
        <x:v>Dissolved 1988-12-28 after an unnamed sole-shareholder resolution; no merger or asset recipient identified</x:v>
      </x:c>
      <x:c r="N101" s="303" t="str">
        <x:v>property-record follow-up</x:v>
      </x:c>
      <x:c r="O101" s="303" t="str">
        <x:v>G423_1524;G532_0974;FINDING:14590;OH-SOS:728764:G532_0974</x:v>
      </x:c>
      <x:c r="P101" s="303" t="str">
        <x:v>The no-personal-property affidavit does not address real estate. Page 7 proves a common 46-company filing batch, not ownership. Argotron G532_0974 p.7 establishes inclusion in a 46-company administrative dissolution batch; it does not establish common ownership, common control, a shared property portfolio, or beneficial ownership.</x:v>
      </x:c>
    </x:row>
    <x:row r="102" ht="64" customHeight="1">
      <x:c r="A102" s="303" t="str">
        <x:v>Mackinaw Marketing Co.</x:v>
      </x:c>
      <x:c r="B102" s="303" t="str">
        <x:v>Mackinaw Marketing Company; Mackinaw Marketing Co</x:v>
      </x:c>
      <x:c r="C102" s="303" t="str">
        <x:v>Ohio corporation / operational-name property-record lead</x:v>
      </x:c>
      <x:c r="D102" s="303" t="str">
        <x:v>Ohio</x:v>
      </x:c>
      <x:c r="E102" s="303" t="str">
        <x:v>728766</x:v>
      </x:c>
      <x:c r="F102" s="303" t="str">
        <x:v>dead / dissolved</x:v>
      </x:c>
      <x:c r="G102" s="303" t="str">
        <x:v>41 S. High St., Suite 2300 / 23rd Floor, Columbus, OH 43215</x:v>
      </x:c>
      <x:c r="H102" s="303" t="str">
        <x:v>No parcel is identified in the corporate packets; county property search not started</x:v>
      </x:c>
      <x:c r="I102" s="303" t="str">
        <x:v>No Epstein role appears in the complete exact-charter filing history</x:v>
      </x:c>
      <x:c r="J102" s="303" t="str">
        <x:v>No Wexner role appears in the complete exact-charter filing history</x:v>
      </x:c>
      <x:c r="K102" s="303" t="str">
        <x:v>1988-07-15 to 1988-12-28</x:v>
      </x:c>
      <x:c r="L102" s="303" t="str">
        <x:v>complete primary Ohio filing history and images confirmed; property records not searched</x:v>
      </x:c>
      <x:c r="M102" s="303" t="str">
        <x:v>Dissolved 1988-12-28 after an unnamed sole-shareholder resolution; no merger or asset recipient identified</x:v>
      </x:c>
      <x:c r="N102" s="303" t="str">
        <x:v>property-record follow-up</x:v>
      </x:c>
      <x:c r="O102" s="303" t="str">
        <x:v>G423_1536;G532_1126;G532_0974 p.7;FINDING:14590;OH-SOS:728764:G532_0974</x:v>
      </x:c>
      <x:c r="P102" s="303" t="str">
        <x:v>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row>
    <x:row r="103" ht="64" customHeight="1">
      <x:c r="A103" s="303" t="str">
        <x:v>Scripton Products, Inc.</x:v>
      </x:c>
      <x:c r="B103" s="303" t="str">
        <x:v>Scripton Products Inc.; Scripton Products</x:v>
      </x:c>
      <x:c r="C103" s="303" t="str">
        <x:v>Ohio corporation / operational-name property-record lead</x:v>
      </x:c>
      <x:c r="D103" s="303" t="str">
        <x:v>Ohio</x:v>
      </x:c>
      <x:c r="E103" s="303" t="str">
        <x:v>728768</x:v>
      </x:c>
      <x:c r="F103" s="303" t="str">
        <x:v>dead / dissolved</x:v>
      </x:c>
      <x:c r="G103" s="303" t="str">
        <x:v>41 S. High St., Suite 2300 / 23rd Floor, Columbus, OH 43215</x:v>
      </x:c>
      <x:c r="H103" s="303" t="str">
        <x:v>No parcel is identified in the corporate packets; county property search not started</x:v>
      </x:c>
      <x:c r="I103" s="303" t="str">
        <x:v>No Epstein role appears in the complete exact-charter filing history</x:v>
      </x:c>
      <x:c r="J103" s="303" t="str">
        <x:v>No Wexner role appears in the complete exact-charter filing history</x:v>
      </x:c>
      <x:c r="K103" s="303" t="str">
        <x:v>1988-07-15 to 1988-12-28</x:v>
      </x:c>
      <x:c r="L103" s="303" t="str">
        <x:v>complete primary Ohio filing history and images confirmed; property records not searched</x:v>
      </x:c>
      <x:c r="M103" s="303" t="str">
        <x:v>Dissolved 1988-12-28 after an unnamed sole-shareholder resolution; no merger or asset recipient identified</x:v>
      </x:c>
      <x:c r="N103" s="303" t="str">
        <x:v>property-record follow-up</x:v>
      </x:c>
      <x:c r="O103" s="303" t="str">
        <x:v>G423_1548;G532_1228;G532_0974 p.7;FINDING:14590;OH-SOS:728764:G532_0974</x:v>
      </x:c>
      <x:c r="P103" s="303" t="str">
        <x:v>The no-personal-property affidavit does not address real estate. The Argotron cover letter proves a common 46-company filing batch, not ownership. Argotron G532_0974 p.7 establishes inclusion in a 46-company administrative dissolution batch; it does not establish common ownership, common control, a shared property portfolio, or beneficial ownership.</x:v>
      </x:c>
    </x:row>
    <x:row r="104" ht="64" customHeight="1">
      <x:c r="A104" s="303" t="str">
        <x:v>Urban Improvement of Columbus, Inc.</x:v>
      </x:c>
      <x:c r="B104" s="303" t="str">
        <x:v>Urban Improvement of Columbus Inc.</x:v>
      </x:c>
      <x:c r="C104" s="303" t="str">
        <x:v>Ohio nonprofit corporation / explicit property-holding and club-purpose lead</x:v>
      </x:c>
      <x:c r="D104" s="303" t="str">
        <x:v>Ohio</x:v>
      </x:c>
      <x:c r="E104" s="303" t="str">
        <x:v>364648</x:v>
      </x:c>
      <x:c r="F104" s="303" t="str">
        <x:v>permanently cancelled; failure-to-file cancellation 1999-03-15</x:v>
      </x:c>
      <x:c r="G104" s="303" t="str">
        <x:v>Principal office: Columbus, Franklin County; agent/counsel addresses: 2367 Brentwood Rd.; 37 W. Broad St.; 41 S. High St., Suite 3710, Columbus</x:v>
      </x:c>
      <x:c r="H104" s="303" t="str">
        <x:v>No parcel or deed identified; 1967 articles expressly authorize holding title and interests in real and personal property, and 1989 amendment states a club purpose</x:v>
      </x:c>
      <x:c r="I104" s="303" t="str">
        <x:v>No Epstein role appears in 28 available filing pages</x:v>
      </x:c>
      <x:c r="J104" s="303" t="str">
        <x:v>No Wexner role appears in 28 available filing pages</x:v>
      </x:c>
      <x:c r="K104" s="303" t="str">
        <x:v>1967-09-21 to permanent cancellation 2025-11-05</x:v>
      </x:c>
      <x:c r="L104" s="303" t="str">
        <x:v>complete live history enumerated; 9 unique packets/28 pages reviewed; 4 no-image rows and 1 embedded source-error page</x:v>
      </x:c>
      <x:c r="M104" s="303" t="str">
        <x:v>Cancelled 1999-03-15 for failure to file continued existence; portal records permanent cancellation 2025-11-05</x:v>
      </x:c>
      <x:c r="N104" s="303" t="str">
        <x:v>high property-purpose follow-up</x:v>
      </x:c>
      <x:c r="O104" s="303" t="str">
        <x:v>B521_2010; G575_1397; G575_1404; 9458_0560; 199907400518;FINDING:14591</x:v>
      </x:c>
      <x:c r="P104" s="303" t="str">
        <x:v>The purpose clauses justify a recorder/auditor search but identify no specific club, land, parcel, deed, owner, or beneficiary. Snow's reviewed role is statutory agent only.</x:v>
      </x:c>
    </x:row>
    <x:row r="105" ht="64" customHeight="1">
      <x:c r="A105" s="303" t="str">
        <x:v>Blacksheep Farms, Inc.</x:v>
      </x:c>
      <x:c r="B105" s="303" t="str">
        <x:v>Blacksheep Farms Inc.; Black Sheep Farms</x:v>
      </x:c>
      <x:c r="C105" s="303" t="str">
        <x:v>Ohio corporation / verified merger predecessor and farm-name property lead</x:v>
      </x:c>
      <x:c r="D105" s="303" t="str">
        <x:v>Ohio</x:v>
      </x:c>
      <x:c r="E105" s="303" t="str">
        <x:v>713613</x:v>
      </x:c>
      <x:c r="F105" s="303" t="str">
        <x:v>dead / merged out</x:v>
      </x:c>
      <x:c r="G105" s="303" t="str">
        <x:v>Principal office: Dublin, Franklin County; original agent: 475 Metro Place North, Suite 200, Dublin; Snow/SKWR: 41 S. High St., Suite 2300; MEX return: 5906 E. Dublin-Granville Rd., New Albany</x:v>
      </x:c>
      <x:c r="H105" s="303" t="str">
        <x:v>No parcel, deed, farm, acreage, or property address identified in the corporate packets; later recorder instruments use Black Sheep spelling</x:v>
      </x:c>
      <x:c r="I105" s="303" t="str">
        <x:v>No Epstein role appears in the available exact-charter or merger pages</x:v>
      </x:c>
      <x:c r="J105" s="303" t="str">
        <x:v>No Wexner role appears in the available exact-charter or merger pages</x:v>
      </x:c>
      <x:c r="K105" s="303" t="str">
        <x:v>1987-12-07 to 1995-12-29</x:v>
      </x:c>
      <x:c r="L105" s="303" t="str">
        <x:v>complete live history enumerated; available images and substantive merger certificate reviewed</x:v>
      </x:c>
      <x:c r="M105" s="303" t="str">
        <x:v>Merged into Eastern Ohio Holding Company 1995-12-29; two continued-existence rows unavailable</x:v>
      </x:c>
      <x:c r="N105" s="303" t="str">
        <x:v>successor-aware property pivot</x:v>
      </x:c>
      <x:c r="O105" s="303" t="str">
        <x:v>G285_0677;H703_1584;5422_1190;5422_1221;FINDING:14592;FINDING:14646</x:v>
      </x:c>
      <x:c r="P105" s="303" t="str">
        <x:v>The merger certificate spells Blacksheep as one word. Search that name through the merger date, Eastern Ohio afterward, and Black Sheep variants in later deeds.</x:v>
      </x:c>
    </x:row>
    <x:row r="106" ht="64" customHeight="1">
      <x:c r="A106" s="303" t="str">
        <x:v>Wesleyan Conservation Corp.</x:v>
      </x:c>
      <x:c r="B106" s="303" t="str">
        <x:v>Wesleyan Conservation Corporation</x:v>
      </x:c>
      <x:c r="C106" s="303" t="str">
        <x:v>Ohio corporation / conservation-name property and network-person lead</x:v>
      </x:c>
      <x:c r="D106" s="303" t="str">
        <x:v>Ohio</x:v>
      </x:c>
      <x:c r="E106" s="303" t="str">
        <x:v>769248</x:v>
      </x:c>
      <x:c r="F106" s="303" t="str">
        <x:v>active</x:v>
      </x:c>
      <x:c r="G106" s="303" t="str">
        <x:v>Principal office: Columbus, Franklin County; original agent: CT Corporation System, Carew Tower, Cincinnati; Snow/SKWR: 41 S. High St., Suite 2300, Columbus</x:v>
      </x:c>
      <x:c r="H106" s="303" t="str">
        <x:v>No parcel, deed, conservation land, easement, or specific property identified in the packets</x:v>
      </x:c>
      <x:c r="I106" s="303" t="str">
        <x:v>No Jeffrey Epstein role appears; the 1994 filing names a different person, Jeffrey J. Smith, as vice president and secretary</x:v>
      </x:c>
      <x:c r="J106" s="303" t="str">
        <x:v>No Wexner role appears in 11 available filing pages</x:v>
      </x:c>
      <x:c r="K106" s="303" t="str">
        <x:v>1990-03-21 to present portal-active status</x:v>
      </x:c>
      <x:c r="L106" s="303" t="str">
        <x:v>complete live history enumerated; articles and 1994 agent appointment reviewed; two 1993 continued-existence rows unavailable</x:v>
      </x:c>
      <x:c r="M106" s="303" t="str">
        <x:v>Active; last available filing appoints Snow as statutory agent on 1994-05-17</x:v>
      </x:c>
      <x:c r="N106" s="303" t="str">
        <x:v>high network-person and property-name follow-up</x:v>
      </x:c>
      <x:c r="O106" s="303" t="str">
        <x:v>G825_1992; 4132_0290;FINDING:14592</x:v>
      </x:c>
      <x:c r="P106" s="303" t="str">
        <x:v>Formation used Porter, Wright, Morris &amp; Arthur and CT Corporation System; the 1994 appointment shifted the statutory-agent route to Snow c/o SKWR and was signed by Jeffrey J. Smith. The name alone does not prove conservation-property ownership.</x:v>
      </x:c>
    </x:row>
    <x:row r="107" ht="64" customHeight="1">
      <x:c r="A107" s="303" t="str">
        <x:v>Snowberry Hills, Inc.</x:v>
      </x:c>
      <x:c r="B107" s="303" t="str">
        <x:v>Snowberry Hills Inc.</x:v>
      </x:c>
      <x:c r="C107" s="303" t="str">
        <x:v>Ohio corporation / hills-name property and verified merger-successor lead</x:v>
      </x:c>
      <x:c r="D107" s="303" t="str">
        <x:v>Ohio</x:v>
      </x:c>
      <x:c r="E107" s="303" t="str">
        <x:v>713925</x:v>
      </x:c>
      <x:c r="F107" s="303" t="str">
        <x:v>dead / merged out</x:v>
      </x:c>
      <x:c r="G107" s="303" t="str">
        <x:v>Principal office: Columbus, Franklin County; Snow/SKWR agent address: 41 S. High St., Suite 2300, Columbus, OH 43215</x:v>
      </x:c>
      <x:c r="H107" s="303" t="str">
        <x:v>No parcel or deed identified; search predecessor through 1989-12-22 and Architonics afterward</x:v>
      </x:c>
      <x:c r="I107" s="303" t="str">
        <x:v>No Epstein role appears in the complete exact-charter history or substantive merger instrument</x:v>
      </x:c>
      <x:c r="J107" s="303" t="str">
        <x:v>No Wexner role appears in the complete exact-charter history or substantive merger instrument</x:v>
      </x:c>
      <x:c r="K107" s="303" t="str">
        <x:v>1987-12-07 to 1989-12-22</x:v>
      </x:c>
      <x:c r="L107" s="303" t="str">
        <x:v>complete exact live Ohio filing history plus primary merger agreement confirmed; property records not searched</x:v>
      </x:c>
      <x:c r="M107" s="303" t="str">
        <x:v>Merged into Architonics 1989-12-22; separate existence ceased and any property vested in the survivor</x:v>
      </x:c>
      <x:c r="N107" s="303" t="str">
        <x:v>high successor-aware property follow-up</x:v>
      </x:c>
      <x:c r="O107" s="303" t="str">
        <x:v>G288_0312; G774_0107; G774_0167;FINDING:14594</x:v>
      </x:c>
      <x:c r="P107" s="303" t="str">
        <x:v>Hills is a search signal, not proof of landholding. The sole shareholder is unnamed. The party-specific MEX stub does not name the survivor; G774_0107 supplies the survivor and statutory asset-vesting rule.</x:v>
      </x:c>
    </x:row>
    <x:row r="108" ht="64" customHeight="1">
      <x:c r="A108" s="303" t="str">
        <x:v>Briarpatch Fields, Inc.</x:v>
      </x:c>
      <x:c r="B108" s="303" t="str">
        <x:v>Briarpatch Fields Inc.</x:v>
      </x:c>
      <x:c r="C108" s="303" t="str">
        <x:v>Ohio corporation / fields-name property and verified merger-successor lead</x:v>
      </x:c>
      <x:c r="D108" s="303" t="str">
        <x:v>Ohio</x:v>
      </x:c>
      <x:c r="E108" s="303" t="str">
        <x:v>713843</x:v>
      </x:c>
      <x:c r="F108" s="303" t="str">
        <x:v>dead / merged out</x:v>
      </x:c>
      <x:c r="G108" s="303" t="str">
        <x:v>Principal office: Columbus, Franklin County; Snow/SKWR agent address: 41 S. High St., Suite 2300, Columbus, OH 43215</x:v>
      </x:c>
      <x:c r="H108" s="303" t="str">
        <x:v>No parcel or deed identified; search predecessor through 1989-12-22 and Architonics afterward</x:v>
      </x:c>
      <x:c r="I108" s="303" t="str">
        <x:v>No Epstein role appears in the complete exact-charter history or substantive merger instrument</x:v>
      </x:c>
      <x:c r="J108" s="303" t="str">
        <x:v>No Wexner role appears in the complete exact-charter history or substantive merger instrument</x:v>
      </x:c>
      <x:c r="K108" s="303" t="str">
        <x:v>1987-12-10 to 1989-12-22</x:v>
      </x:c>
      <x:c r="L108" s="303" t="str">
        <x:v>complete exact live Ohio filing history plus primary merger agreement confirmed; property records not searched</x:v>
      </x:c>
      <x:c r="M108" s="303" t="str">
        <x:v>Merged into Architonics 1989-12-22; separate existence ceased and any property vested in the survivor</x:v>
      </x:c>
      <x:c r="N108" s="303" t="str">
        <x:v>high successor-aware property follow-up</x:v>
      </x:c>
      <x:c r="O108" s="303" t="str">
        <x:v>G287_0753; G774_0107; G774_0119;FINDING:14594</x:v>
      </x:c>
      <x:c r="P108" s="303" t="str">
        <x:v>Fields is a search signal, not proof of landholding. The sole shareholder is unnamed. Common counsel and dates establish administration, not beneficial ownership.</x:v>
      </x:c>
    </x:row>
    <x:row r="109" ht="64" customHeight="1">
      <x:c r="A109" s="303" t="str">
        <x:v>Candleberry Cove, Inc.</x:v>
      </x:c>
      <x:c r="B109" s="303" t="str">
        <x:v>Candleberry Cove Inc.</x:v>
      </x:c>
      <x:c r="C109" s="303" t="str">
        <x:v>Ohio corporation / cove-name property and verified merger-successor lead</x:v>
      </x:c>
      <x:c r="D109" s="303" t="str">
        <x:v>Ohio</x:v>
      </x:c>
      <x:c r="E109" s="303" t="str">
        <x:v>713838</x:v>
      </x:c>
      <x:c r="F109" s="303" t="str">
        <x:v>dead / merged out</x:v>
      </x:c>
      <x:c r="G109" s="303" t="str">
        <x:v>Principal office: Columbus, Franklin County; Snow/SKWR agent address: 41 S. High St., Suite 2300, Columbus, OH 43215</x:v>
      </x:c>
      <x:c r="H109" s="303" t="str">
        <x:v>No parcel or deed identified; search predecessor through 1989-12-22 and Architonics afterward</x:v>
      </x:c>
      <x:c r="I109" s="303" t="str">
        <x:v>No Epstein role appears in the complete exact-charter history or substantive merger instrument</x:v>
      </x:c>
      <x:c r="J109" s="303" t="str">
        <x:v>No Wexner role appears in the complete exact-charter history or substantive merger instrument</x:v>
      </x:c>
      <x:c r="K109" s="303" t="str">
        <x:v>1987-12-10 to 1989-12-22</x:v>
      </x:c>
      <x:c r="L109" s="303" t="str">
        <x:v>complete exact live Ohio filing history plus primary merger agreement confirmed; property records not searched</x:v>
      </x:c>
      <x:c r="M109" s="303" t="str">
        <x:v>Merged into Architonics 1989-12-22; separate existence ceased and any property vested in the survivor</x:v>
      </x:c>
      <x:c r="N109" s="303" t="str">
        <x:v>high successor-aware property follow-up</x:v>
      </x:c>
      <x:c r="O109" s="303" t="str">
        <x:v>G287_0722; G774_0107; G774_0125;FINDING:14594</x:v>
      </x:c>
      <x:c r="P109" s="303" t="str">
        <x:v>Cove is a search signal, not proof of landholding. The Len Loraditch correspondence cover is a counsel clue only. The sole shareholder is unnamed.</x:v>
      </x:c>
    </x:row>
    <x:row r="110" ht="64" customHeight="1">
      <x:c r="A110" s="303" t="str">
        <x:v>Frontier Traders, Inc.</x:v>
      </x:c>
      <x:c r="B110" s="303" t="str">
        <x:v>Frontier Traders Inc.</x:v>
      </x:c>
      <x:c r="C110" s="303" t="str">
        <x:v>Ohio corporation / verified merger-successor lead</x:v>
      </x:c>
      <x:c r="D110" s="303" t="str">
        <x:v>Ohio</x:v>
      </x:c>
      <x:c r="E110" s="303" t="str">
        <x:v>713922</x:v>
      </x:c>
      <x:c r="F110" s="303" t="str">
        <x:v>dead / merged out</x:v>
      </x:c>
      <x:c r="G110" s="303" t="str">
        <x:v>Principal office: Columbus, Franklin County; Snow/SKWR agent address: 41 S. High St., Suite 2300, Columbus, OH 43215</x:v>
      </x:c>
      <x:c r="H110" s="303" t="str">
        <x:v>No parcel or deed identified; search predecessor through 1989-12-22 and Architonics afterward</x:v>
      </x:c>
      <x:c r="I110" s="303" t="str">
        <x:v>No Epstein role appears in the complete exact-charter history or substantive merger instrument</x:v>
      </x:c>
      <x:c r="J110" s="303" t="str">
        <x:v>No Wexner role appears in the complete exact-charter history or substantive merger instrument</x:v>
      </x:c>
      <x:c r="K110" s="303" t="str">
        <x:v>1987-12-11 to 1989-12-22</x:v>
      </x:c>
      <x:c r="L110" s="303" t="str">
        <x:v>complete exact live Ohio filing history plus primary merger agreement confirmed; property records not searched</x:v>
      </x:c>
      <x:c r="M110" s="303" t="str">
        <x:v>Merged into Architonics 1989-12-22; separate existence ceased and any property vested in the survivor</x:v>
      </x:c>
      <x:c r="N110" s="303" t="str">
        <x:v>successor-aware recorder follow-up</x:v>
      </x:c>
      <x:c r="O110" s="303" t="str">
        <x:v>G288_0294; G774_0107; G774_0137;FINDING:14594</x:v>
      </x:c>
      <x:c r="P110" s="303" t="str">
        <x:v>The filings state only a generic lawful purpose and identify no property. The sole shareholder is unnamed. Shared administration does not prove ownership.</x:v>
      </x:c>
    </x:row>
    <x:row r="111" ht="64" customHeight="1">
      <x:c r="A111" s="303" t="str">
        <x:v>Kitzmiller Properties, Inc.</x:v>
      </x:c>
      <x:c r="B111" s="303" t="str">
        <x:v>Kitzmiller Properties Inc.</x:v>
      </x:c>
      <x:c r="C111" s="303" t="str">
        <x:v>Ohio corporation / properties-name and verified merger-successor lead</x:v>
      </x:c>
      <x:c r="D111" s="303" t="str">
        <x:v>Ohio</x:v>
      </x:c>
      <x:c r="E111" s="303" t="str">
        <x:v>713923</x:v>
      </x:c>
      <x:c r="F111" s="303" t="str">
        <x:v>dead / merged out</x:v>
      </x:c>
      <x:c r="G111" s="303" t="str">
        <x:v>Principal office: Columbus, Franklin County; Snow/SKWR agent address: 41 S. High St., Suite 2300, Columbus, OH 43215</x:v>
      </x:c>
      <x:c r="H111" s="303" t="str">
        <x:v>No parcel or deed identified; search predecessor through 1989-12-22 and Architonics afterward</x:v>
      </x:c>
      <x:c r="I111" s="303" t="str">
        <x:v>No Epstein role appears in the complete exact-charter history or substantive merger instrument</x:v>
      </x:c>
      <x:c r="J111" s="303" t="str">
        <x:v>No Wexner role appears in the complete exact-charter history or substantive merger instrument</x:v>
      </x:c>
      <x:c r="K111" s="303" t="str">
        <x:v>1987-12-11 to 1989-12-22</x:v>
      </x:c>
      <x:c r="L111" s="303" t="str">
        <x:v>complete exact live Ohio filing history plus primary merger agreement confirmed; property records not searched</x:v>
      </x:c>
      <x:c r="M111" s="303" t="str">
        <x:v>Merged into Architonics 1989-12-22; separate existence ceased and any property vested in the survivor</x:v>
      </x:c>
      <x:c r="N111" s="303" t="str">
        <x:v>high successor-aware property follow-up</x:v>
      </x:c>
      <x:c r="O111" s="303" t="str">
        <x:v>G288_0300; G774_0107; G774_0143;FINDING:14594</x:v>
      </x:c>
      <x:c r="P111" s="303" t="str">
        <x:v>Properties is a search signal, not proof of landholding. The sole shareholder is unnamed. The merger agreement, not the status-only stub, supplies the survivor edge.</x:v>
      </x:c>
    </x:row>
    <x:row r="112" ht="64" customHeight="1">
      <x:c r="A112" s="303" t="str">
        <x:v>Blacklick Properties, Inc.</x:v>
      </x:c>
      <x:c r="B112" s="303" t="str">
        <x:v>Blacklick Properties Inc.</x:v>
      </x:c>
      <x:c r="C112" s="303" t="str">
        <x:v>Ohio corporation / place-and-properties-name and verified merger-successor lead</x:v>
      </x:c>
      <x:c r="D112" s="303" t="str">
        <x:v>Ohio</x:v>
      </x:c>
      <x:c r="E112" s="303" t="str">
        <x:v>710873</x:v>
      </x:c>
      <x:c r="F112" s="303" t="str">
        <x:v>dead / merged out</x:v>
      </x:c>
      <x:c r="G112" s="303" t="str">
        <x:v>Principal office: Columbus, Franklin County; Snow/SKWR agent address: 41 S. High St., Suite 2300, Columbus, OH 43215</x:v>
      </x:c>
      <x:c r="H112" s="303" t="str">
        <x:v>No parcel or deed identified; search predecessor through 1989-12-22 and Architonics afterward</x:v>
      </x:c>
      <x:c r="I112" s="303" t="str">
        <x:v>No Epstein role appears in the complete exact-charter history or substantive merger instrument</x:v>
      </x:c>
      <x:c r="J112" s="303" t="str">
        <x:v>No Wexner role appears in the complete exact-charter history or substantive merger instrument</x:v>
      </x:c>
      <x:c r="K112" s="303" t="str">
        <x:v>1987-12-14 to 1989-12-22</x:v>
      </x:c>
      <x:c r="L112" s="303" t="str">
        <x:v>complete exact live Ohio filing history plus primary merger agreement confirmed; property records not searched</x:v>
      </x:c>
      <x:c r="M112" s="303" t="str">
        <x:v>Merged into Architonics 1989-12-22; separate existence ceased and any property vested in the survivor</x:v>
      </x:c>
      <x:c r="N112" s="303" t="str">
        <x:v>high successor-aware property follow-up</x:v>
      </x:c>
      <x:c r="O112" s="303" t="str">
        <x:v>G290_1418; G774_0107; G774_0116;FINDING:14594</x:v>
      </x:c>
      <x:c r="P112" s="303" t="str">
        <x:v>Blacklick/Properties is a strong recorder-search signal but not title evidence. The sole shareholder is unnamed. The party-specific MEX stub confirms status but does not independently name Architonics.</x:v>
      </x:c>
    </x:row>
    <x:row r="113" ht="64" customHeight="1">
      <x:c r="A113" s="303" t="str">
        <x:v>Villa Development Corp.</x:v>
      </x:c>
      <x:c r="B113" s="303" t="str">
        <x:v>Villa Development Corp</x:v>
      </x:c>
      <x:c r="C113" s="303" t="str">
        <x:v>Ohio corporation / development-name property and verified merger-successor lead</x:v>
      </x:c>
      <x:c r="D113" s="303" t="str">
        <x:v>Ohio</x:v>
      </x:c>
      <x:c r="E113" s="303" t="str">
        <x:v>720364</x:v>
      </x:c>
      <x:c r="F113" s="303" t="str">
        <x:v>dead / merged out</x:v>
      </x:c>
      <x:c r="G113" s="303" t="str">
        <x:v>Principal office: Columbus, Franklin County; Snow/SKWR agent address: 41 S. High St., Suite 2300, Columbus, OH 43215</x:v>
      </x:c>
      <x:c r="H113" s="303" t="str">
        <x:v>No parcel or deed identified; search predecessor through 1989-12-22 and Architonics afterward</x:v>
      </x:c>
      <x:c r="I113" s="303" t="str">
        <x:v>No Epstein role appears in the complete exact-charter history or substantive merger instrument</x:v>
      </x:c>
      <x:c r="J113" s="303" t="str">
        <x:v>No Wexner role appears in the complete exact-charter history or substantive merger instrument</x:v>
      </x:c>
      <x:c r="K113" s="303" t="str">
        <x:v>1988-03-09 to 1989-12-22</x:v>
      </x:c>
      <x:c r="L113" s="303" t="str">
        <x:v>complete exact live Ohio filing history plus primary merger agreement confirmed; property records not searched</x:v>
      </x:c>
      <x:c r="M113" s="303" t="str">
        <x:v>Merged into Architonics 1989-12-22; separate existence ceased and any property vested in the survivor</x:v>
      </x:c>
      <x:c r="N113" s="303" t="str">
        <x:v>high successor-aware property follow-up</x:v>
      </x:c>
      <x:c r="O113" s="303" t="str">
        <x:v>G343_0252; G774_0107; G774_0182;FINDING:14598</x:v>
      </x:c>
      <x:c r="P113" s="303" t="str">
        <x:v>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row>
    <x:row r="114" ht="64" customHeight="1">
      <x:c r="A114" s="303" t="str">
        <x:v>Donner Development Company</x:v>
      </x:c>
      <x:c r="B114" s="303" t="str">
        <x:v>Donner Development Co.</x:v>
      </x:c>
      <x:c r="C114" s="303" t="str">
        <x:v>Ohio corporation / development-name property and verified merger-successor lead</x:v>
      </x:c>
      <x:c r="D114" s="303" t="str">
        <x:v>Ohio</x:v>
      </x:c>
      <x:c r="E114" s="303" t="str">
        <x:v>724615</x:v>
      </x:c>
      <x:c r="F114" s="303" t="str">
        <x:v>dead / merged out</x:v>
      </x:c>
      <x:c r="G114" s="303" t="str">
        <x:v>Principal office: Columbus, Franklin County; Snow/SKWR agent address: 41 S. High St., Suite 2300, Columbus, OH 43215</x:v>
      </x:c>
      <x:c r="H114" s="303" t="str">
        <x:v>No parcel or deed identified; search predecessor through 1989-12-22 and Architonics afterward</x:v>
      </x:c>
      <x:c r="I114" s="303" t="str">
        <x:v>No Epstein role appears in the complete exact-charter history or substantive merger instrument</x:v>
      </x:c>
      <x:c r="J114" s="303" t="str">
        <x:v>No Wexner role appears in the complete exact-charter history or substantive merger instrument</x:v>
      </x:c>
      <x:c r="K114" s="303" t="str">
        <x:v>1988-05-13 to 1989-12-22</x:v>
      </x:c>
      <x:c r="L114" s="303" t="str">
        <x:v>complete exact live Ohio filing history plus primary merger agreement confirmed; property records not searched</x:v>
      </x:c>
      <x:c r="M114" s="303" t="str">
        <x:v>Merged into Architonics 1989-12-22; separate existence ceased and any property vested in the survivor</x:v>
      </x:c>
      <x:c r="N114" s="303" t="str">
        <x:v>high successor-aware property follow-up</x:v>
      </x:c>
      <x:c r="O114" s="303" t="str">
        <x:v>G379_0217; G774_0107; G774_0134;FINDING:14598</x:v>
      </x:c>
      <x:c r="P114" s="303" t="str">
        <x:v>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row>
    <x:row r="115" ht="64" customHeight="1">
      <x:c r="A115" s="303" t="str">
        <x:v>Summit Holding, Inc.</x:v>
      </x:c>
      <x:c r="B115" s="303" t="str">
        <x:v>Summit Holding Inc.</x:v>
      </x:c>
      <x:c r="C115" s="303" t="str">
        <x:v>Ohio corporation / holding-company and verified merger-successor lead</x:v>
      </x:c>
      <x:c r="D115" s="303" t="str">
        <x:v>Ohio</x:v>
      </x:c>
      <x:c r="E115" s="303" t="str">
        <x:v>724620</x:v>
      </x:c>
      <x:c r="F115" s="303" t="str">
        <x:v>dead / merged out</x:v>
      </x:c>
      <x:c r="G115" s="303" t="str">
        <x:v>Principal office: Columbus, Franklin County; Snow/SKWR agent address: 41 S. High St., Suite 2300, Columbus, OH 43215</x:v>
      </x:c>
      <x:c r="H115" s="303" t="str">
        <x:v>No parcel or deed identified; search predecessor through 1989-12-22 and Architonics afterward</x:v>
      </x:c>
      <x:c r="I115" s="303" t="str">
        <x:v>No Epstein role appears in the complete exact-charter history or substantive merger instrument</x:v>
      </x:c>
      <x:c r="J115" s="303" t="str">
        <x:v>No Wexner role appears in the complete exact-charter history or substantive merger instrument</x:v>
      </x:c>
      <x:c r="K115" s="303" t="str">
        <x:v>1988-05-13 to 1989-12-22</x:v>
      </x:c>
      <x:c r="L115" s="303" t="str">
        <x:v>complete exact live Ohio filing history plus primary merger agreement confirmed; property records not searched</x:v>
      </x:c>
      <x:c r="M115" s="303" t="str">
        <x:v>Merged into Architonics 1989-12-22; separate existence ceased and any property vested in the survivor</x:v>
      </x:c>
      <x:c r="N115" s="303" t="str">
        <x:v>high successor-aware property follow-up</x:v>
      </x:c>
      <x:c r="O115" s="303" t="str">
        <x:v>G379_0247; G774_0107; G774_0173;FINDING:14598</x:v>
      </x:c>
      <x:c r="P115" s="303" t="str">
        <x:v>Holding is a vehicle-search signal, not proof of an asset, subsidiary, or beneficial owner. The sole shareholder named in the Architonics agreement is not identified. The party-specific MEX stub does not name the survivor; G774_0107 supplies that edge. Common counsel, dates, and templates do not establish beneficial ownership.</x:v>
      </x:c>
    </x:row>
    <x:row r="116" ht="64" customHeight="1">
      <x:c r="A116" s="303" t="str">
        <x:v>Currant Corporation</x:v>
      </x:c>
      <x:c r="B116" s="303" t="str">
        <x:v>Currant Corp.</x:v>
      </x:c>
      <x:c r="C116" s="303" t="str">
        <x:v>Ohio corporation / verified merger-successor lead</x:v>
      </x:c>
      <x:c r="D116" s="303" t="str">
        <x:v>Ohio</x:v>
      </x:c>
      <x:c r="E116" s="303" t="str">
        <x:v>728765</x:v>
      </x:c>
      <x:c r="F116" s="303" t="str">
        <x:v>dead / merged out</x:v>
      </x:c>
      <x:c r="G116" s="303" t="str">
        <x:v>Principal office: Columbus, Franklin County; Snow/SKWR agent address: 41 S. High St., Suite 2300, Columbus, OH 43215</x:v>
      </x:c>
      <x:c r="H116" s="303" t="str">
        <x:v>No parcel or deed identified; search predecessor through 1989-12-22 and Architonics afterward</x:v>
      </x:c>
      <x:c r="I116" s="303" t="str">
        <x:v>No Epstein role appears in the complete exact-charter history or substantive merger instrument</x:v>
      </x:c>
      <x:c r="J116" s="303" t="str">
        <x:v>No Wexner role appears in the complete exact-charter history or substantive merger instrument</x:v>
      </x:c>
      <x:c r="K116" s="303" t="str">
        <x:v>1988-07-15 to 1989-12-22</x:v>
      </x:c>
      <x:c r="L116" s="303" t="str">
        <x:v>complete exact live Ohio filing history plus primary merger agreement confirmed; property records not searched</x:v>
      </x:c>
      <x:c r="M116" s="303" t="str">
        <x:v>Merged into Architonics 1989-12-22; separate existence ceased and any property vested in the survivor</x:v>
      </x:c>
      <x:c r="N116" s="303" t="str">
        <x:v>high successor-aware property follow-up</x:v>
      </x:c>
      <x:c r="O116" s="303" t="str">
        <x:v>G423_1530; G774_0107; G774_0131;FINDING:14598</x:v>
      </x:c>
      <x:c r="P116" s="303" t="str">
        <x:v>The name itself does not establish a property or investment purpose. The sole shareholder named in the Architonics agreement is not identified. The party-specific MEX stub does not name the survivor; G774_0107 supplies that edge. Common counsel, dates, and templates do not establish beneficial ownership.</x:v>
      </x:c>
    </x:row>
    <x:row r="117" ht="64" customHeight="1">
      <x:c r="A117" s="303" t="str">
        <x:v>Margin Management Company</x:v>
      </x:c>
      <x:c r="B117" s="303" t="str">
        <x:v>Margin Management Co.</x:v>
      </x:c>
      <x:c r="C117" s="303" t="str">
        <x:v>Ohio corporation / management-name vehicle and verified merger-successor lead</x:v>
      </x:c>
      <x:c r="D117" s="303" t="str">
        <x:v>Ohio</x:v>
      </x:c>
      <x:c r="E117" s="303" t="str">
        <x:v>728767</x:v>
      </x:c>
      <x:c r="F117" s="303" t="str">
        <x:v>dead / merged out</x:v>
      </x:c>
      <x:c r="G117" s="303" t="str">
        <x:v>Principal office: Columbus, Franklin County; Snow/SKWR agent address: 41 S. High St., Suite 2300, Columbus, OH 43215</x:v>
      </x:c>
      <x:c r="H117" s="303" t="str">
        <x:v>No parcel or deed identified; search predecessor through 1989-12-22 and Architonics afterward</x:v>
      </x:c>
      <x:c r="I117" s="303" t="str">
        <x:v>No Epstein role appears in the complete exact-charter history or substantive merger instrument</x:v>
      </x:c>
      <x:c r="J117" s="303" t="str">
        <x:v>No Wexner role appears in the complete exact-charter history or substantive merger instrument</x:v>
      </x:c>
      <x:c r="K117" s="303" t="str">
        <x:v>1988-07-15 to 1989-12-22</x:v>
      </x:c>
      <x:c r="L117" s="303" t="str">
        <x:v>complete exact live Ohio filing history plus primary merger agreement confirmed; property records not searched</x:v>
      </x:c>
      <x:c r="M117" s="303" t="str">
        <x:v>Merged into Architonics 1989-12-22; separate existence ceased and any property vested in the survivor</x:v>
      </x:c>
      <x:c r="N117" s="303" t="str">
        <x:v>high successor-aware property follow-up</x:v>
      </x:c>
      <x:c r="O117" s="303" t="str">
        <x:v>G423_1542; G774_0107; G774_0149;FINDING:14598</x:v>
      </x:c>
      <x:c r="P117" s="303" t="str">
        <x:v>Management is a vehicle-search signal, not proof of the asset managed or beneficial owner. The sole shareholder named in the Architonics agreement is not identified. The party-specific MEX stub does not name the survivor; G774_0107 supplies that edge. Common counsel, dates, and templates do not establish beneficial ownership.</x:v>
      </x:c>
    </x:row>
    <x:row r="118" ht="64" customHeight="1">
      <x:c r="A118" s="303" t="str">
        <x:v>Graeton Development Company</x:v>
      </x:c>
      <x:c r="B118" s="303" t="str">
        <x:v>Graeton Development Co.</x:v>
      </x:c>
      <x:c r="C118" s="303" t="str">
        <x:v>Ohio corporation / development-name property and verified merger-successor lead</x:v>
      </x:c>
      <x:c r="D118" s="303" t="str">
        <x:v>Ohio</x:v>
      </x:c>
      <x:c r="E118" s="303" t="str">
        <x:v>731364</x:v>
      </x:c>
      <x:c r="F118" s="303" t="str">
        <x:v>dead / merged out</x:v>
      </x:c>
      <x:c r="G118" s="303" t="str">
        <x:v>Principal office: Columbus, Franklin County; Snow/SKWR agent address: 41 S. High St., Suite 2300, Columbus, OH 43215</x:v>
      </x:c>
      <x:c r="H118" s="303" t="str">
        <x:v>No parcel or deed identified; search predecessor through 1989-12-22 and Architonics afterward</x:v>
      </x:c>
      <x:c r="I118" s="303" t="str">
        <x:v>No Epstein role appears in the complete exact-charter history or substantive merger instrument</x:v>
      </x:c>
      <x:c r="J118" s="303" t="str">
        <x:v>No Wexner role appears in the complete exact-charter history or substantive merger instrument</x:v>
      </x:c>
      <x:c r="K118" s="303" t="str">
        <x:v>1988-08-24 to 1989-12-22</x:v>
      </x:c>
      <x:c r="L118" s="303" t="str">
        <x:v>complete exact live Ohio filing history plus primary merger agreement confirmed; property records not searched</x:v>
      </x:c>
      <x:c r="M118" s="303" t="str">
        <x:v>Merged into Architonics 1989-12-22; separate existence ceased and any property vested in the survivor</x:v>
      </x:c>
      <x:c r="N118" s="303" t="str">
        <x:v>high successor-aware property follow-up</x:v>
      </x:c>
      <x:c r="O118" s="303" t="str">
        <x:v>G456_0356; G774_0107; G774_0140;FINDING:14598</x:v>
      </x:c>
      <x:c r="P118" s="303" t="str">
        <x:v>Development is a property-search signal, not proof that the corporation owned land. The sole shareholder named in the Architonics agreement is not identified. The party-specific MEX stub does not name the survivor; G774_0107 supplies that edge. Common counsel, dates, and templates do not establish beneficial ownership.</x:v>
      </x:c>
    </x:row>
    <x:row r="119" ht="64" customHeight="1">
      <x:c r="A119" s="303" t="str">
        <x:v>Main-High Development Corp.</x:v>
      </x:c>
      <x:c r="B119" s="303" t="str">
        <x:v>MAIN-HIGH DEVELOPMENT CORP.; Ohio 679415</x:v>
      </x:c>
      <x:c r="C119" s="303" t="str">
        <x:v>Ohio corporation / development-name property candidate</x:v>
      </x:c>
      <x:c r="D119" s="303" t="str">
        <x:v>Ohio</x:v>
      </x:c>
      <x:c r="E119" s="303" t="str">
        <x:v>679415</x:v>
      </x:c>
      <x:c r="F119" s="303" t="str">
        <x:v>dead / dissolved</x:v>
      </x:c>
      <x:c r="G119" s="303" t="str">
        <x:v>Principal office: Columbus, Franklin County; original agent: Dorothy Snow, 2101 Fitzroy Drive, Columbus, OH 43224; later Snow/SKWR address: 41 S. High St., Columbus</x:v>
      </x:c>
      <x:c r="H119" s="303" t="str">
        <x:v>No parcel or deed identified; Franklin County recorder exact-name search pending</x:v>
      </x:c>
      <x:c r="I119" s="303" t="str">
        <x:v>No Epstein role appears in the complete exact-charter history</x:v>
      </x:c>
      <x:c r="J119" s="303" t="str">
        <x:v>No Wexner role appears in the complete exact-charter history</x:v>
      </x:c>
      <x:c r="K119" s="303" t="str">
        <x:v>1986-06-11 to 1990-10-31</x:v>
      </x:c>
      <x:c r="L119" s="303" t="str">
        <x:v>complete exact live Ohio filing history and all available images confirmed; property records not yet searched</x:v>
      </x:c>
      <x:c r="M119" s="303" t="str">
        <x:v>Dissolved 1990-10-31; no corporate successor or asset recipient identified</x:v>
      </x:c>
      <x:c r="N119" s="303" t="str">
        <x:v>high-priority exact-name recorder search</x:v>
      </x:c>
      <x:c r="O119" s="303" t="str">
        <x:v>679415:F931_0311;679415:G985_0497;FINDING:14601</x:v>
      </x:c>
      <x:c r="P119" s="303" t="str">
        <x:v>The authorizing resolution refers to shareholders in the plural but does not name them. Shared counsel and administrative templates do not establish beneficial ownership.</x:v>
      </x:c>
    </x:row>
    <x:row r="120" ht="64" customHeight="1">
      <x:c r="A120" s="303" t="str">
        <x:v>The Encee Holding Corp.</x:v>
      </x:c>
      <x:c r="B120" s="303" t="str">
        <x:v>THE ENCEE HOLDING CORP.; Ohio 693864</x:v>
      </x:c>
      <x:c r="C120" s="303" t="str">
        <x:v>Ohio corporation / property-acquisition agency vehicle</x:v>
      </x:c>
      <x:c r="D120" s="303" t="str">
        <x:v>Ohio</x:v>
      </x:c>
      <x:c r="E120" s="303" t="str">
        <x:v>693864</x:v>
      </x:c>
      <x:c r="F120" s="303" t="str">
        <x:v>dead / dissolved</x:v>
      </x:c>
      <x:c r="G120" s="303" t="str">
        <x:v>Principal office: Dublin, Franklin County; original agent: Robert N. Wistner, 475 Metro Place North, Suite 200, Dublin, OH 43017-1374; later Snow/SKWR address: 41 S. High St., Columbus</x:v>
      </x:c>
      <x:c r="H120" s="303" t="str">
        <x:v>Articles expressly state a real-or-personal property acquisition purpose as agent for unidentified others; no parcel or principal is named and recorder search is pending</x:v>
      </x:c>
      <x:c r="I120" s="303" t="str">
        <x:v>No Epstein role appears in the complete exact-charter history</x:v>
      </x:c>
      <x:c r="J120" s="303" t="str">
        <x:v>No Wexner role appears in the complete exact-charter history</x:v>
      </x:c>
      <x:c r="K120" s="303" t="str">
        <x:v>1987-01-28 to 1988-12-28</x:v>
      </x:c>
      <x:c r="L120" s="303" t="str">
        <x:v>complete exact live Ohio filing history and all available images confirmed; property records not yet searched</x:v>
      </x:c>
      <x:c r="M120" s="303" t="str">
        <x:v>Dissolved 1988-12-28; no corporate successor or asset recipient identified</x:v>
      </x:c>
      <x:c r="N120" s="303" t="str">
        <x:v>highest-priority recorder and unidentified-principal search</x:v>
      </x:c>
      <x:c r="O120" s="303" t="str">
        <x:v>693864:G087_0559;693864:G532_1234;FINDING:14601;FINDING:14599;OH-SOS:728764:G532_0974</x:v>
      </x:c>
      <x:c r="P120" s="303" t="str">
        <x:v>The authorizing sole shareholder is unnamed. The articles do not identify the principal or beneficial owner for whom the corporation would acquire property.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row>
    <x:row r="121" ht="64" customHeight="1">
      <x:c r="A121" s="303" t="str">
        <x:v>NELC, Inc.</x:v>
      </x:c>
      <x:c r="B121" s="303" t="str">
        <x:v>NELC, INC.; Ohio 695020</x:v>
      </x:c>
      <x:c r="C121" s="303" t="str">
        <x:v>Ohio corporation / property-acquisition agency vehicle</x:v>
      </x:c>
      <x:c r="D121" s="303" t="str">
        <x:v>Ohio</x:v>
      </x:c>
      <x:c r="E121" s="303" t="str">
        <x:v>695020</x:v>
      </x:c>
      <x:c r="F121" s="303" t="str">
        <x:v>dead / dissolved</x:v>
      </x:c>
      <x:c r="G121" s="303" t="str">
        <x:v>Principal office: Dublin, Franklin County; original agent: Robert N. Wistner, 475 Metro Place North, Suite 200, Dublin, OH 43017-1374; later Snow/SKWR address: 41 S. High St., Columbus</x:v>
      </x:c>
      <x:c r="H121" s="303" t="str">
        <x:v>Articles expressly state a real-or-personal property acquisition purpose as agent for unidentified others; no parcel or principal is named and recorder search is pending</x:v>
      </x:c>
      <x:c r="I121" s="303" t="str">
        <x:v>No Epstein role appears in the complete exact-charter history</x:v>
      </x:c>
      <x:c r="J121" s="303" t="str">
        <x:v>No Wexner role appears in the complete exact-charter history</x:v>
      </x:c>
      <x:c r="K121" s="303" t="str">
        <x:v>1987-02-18 to 1988-12-28</x:v>
      </x:c>
      <x:c r="L121" s="303" t="str">
        <x:v>complete exact live Ohio filing history and all available images confirmed; property records not yet searched</x:v>
      </x:c>
      <x:c r="M121" s="303" t="str">
        <x:v>Dissolved 1988-12-28; no corporate successor or asset recipient identified</x:v>
      </x:c>
      <x:c r="N121" s="303" t="str">
        <x:v>highest-priority recorder and unidentified-principal search</x:v>
      </x:c>
      <x:c r="O121" s="303" t="str">
        <x:v>695020:G101_0615;695020:G532_1156;FINDING:14601;FINDING:14599;OH-SOS:728764:G532_0974</x:v>
      </x:c>
      <x:c r="P121" s="303" t="str">
        <x:v>The authorizing sole shareholder is unnamed. The articles do not identify the principal or beneficial owner for whom the corporation would acquire property.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row>
    <x:row r="122" ht="64" customHeight="1">
      <x:c r="A122" s="303" t="str">
        <x:v>Great Eastern Fastening Corp. II</x:v>
      </x:c>
      <x:c r="B122" s="303" t="str">
        <x:v>GREAT EASTERN FASTENING CORP. II; Ohio 705933</x:v>
      </x:c>
      <x:c r="C122" s="303" t="str">
        <x:v>Ohio corporation / industrial-name vehicle</x:v>
      </x:c>
      <x:c r="D122" s="303" t="str">
        <x:v>Ohio</x:v>
      </x:c>
      <x:c r="E122" s="303" t="str">
        <x:v>705933</x:v>
      </x:c>
      <x:c r="F122" s="303" t="str">
        <x:v>dead / dissolved</x:v>
      </x:c>
      <x:c r="G122" s="303" t="str">
        <x:v>Principal office: Dublin, Franklin County; original agent: Robert N. Wistner, 475 Metro Place North, Suite 200, Dublin, OH 43017-1374; later Snow/SKWR address: 41 S. High St., Columbus</x:v>
      </x:c>
      <x:c r="H122" s="303" t="str">
        <x:v>No parcel or deed identified; Franklin County recorder exact-name search pending</x:v>
      </x:c>
      <x:c r="I122" s="303" t="str">
        <x:v>No Epstein role appears in the complete exact-charter history</x:v>
      </x:c>
      <x:c r="J122" s="303" t="str">
        <x:v>No Wexner role appears in the complete exact-charter history</x:v>
      </x:c>
      <x:c r="K122" s="303" t="str">
        <x:v>1987-07-30 to 1988-12-28</x:v>
      </x:c>
      <x:c r="L122" s="303" t="str">
        <x:v>complete exact live Ohio filing history and all available images confirmed; property records not yet searched</x:v>
      </x:c>
      <x:c r="M122" s="303" t="str">
        <x:v>Dissolved 1988-12-28; no corporate successor or asset recipient identified</x:v>
      </x:c>
      <x:c r="N122" s="303" t="str">
        <x:v>name-linked entity and recorder follow-up</x:v>
      </x:c>
      <x:c r="O122" s="303" t="str">
        <x:v>705933:G211_1367;705933:G532_1078;FINDING:14601;FINDING:14600;OH-SOS:728764:G532_0974</x:v>
      </x:c>
      <x:c r="P122" s="303" t="str">
        <x:v>The authorizing sole shareholder is unnamed. The formal similar-name consent from Ohio 689907 establishes only a naming relationship, not merger, ownership, or control.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row>
    <x:row r="123" ht="64" customHeight="1">
      <x:c r="A123" s="303" t="str">
        <x:v>Petel of Columbus Co. #1, Inc.</x:v>
      </x:c>
      <x:c r="B123" s="303" t="str">
        <x:v>PETEL OF COLUMBUS CO. #1, INC.; Ohio 701784</x:v>
      </x:c>
      <x:c r="C123" s="303" t="str">
        <x:v>Ohio corporation / exact-name property and entity lead</x:v>
      </x:c>
      <x:c r="D123" s="303" t="str">
        <x:v>Ohio</x:v>
      </x:c>
      <x:c r="E123" s="303" t="str">
        <x:v>701784</x:v>
      </x:c>
      <x:c r="F123" s="303" t="str">
        <x:v>dead / dissolved</x:v>
      </x:c>
      <x:c r="G123" s="303" t="str">
        <x:v>Principal office: Dublin, Franklin County; original agent: Robert N. Wistner, 475 Metro Place North, Dublin, OH 43017-1374; later Snow/SKWR address: 41 S. High St., Columbus</x:v>
      </x:c>
      <x:c r="H123" s="303" t="str">
        <x:v>No parcel or deed identified; Franklin County recorder exact-name search pending</x:v>
      </x:c>
      <x:c r="I123" s="303" t="str">
        <x:v>No Epstein role appears in the complete exact-charter history</x:v>
      </x:c>
      <x:c r="J123" s="303" t="str">
        <x:v>No Wexner role appears in the complete exact-charter history</x:v>
      </x:c>
      <x:c r="K123" s="303" t="str">
        <x:v>1987-05-29 to 1988-12-28</x:v>
      </x:c>
      <x:c r="L123" s="303" t="str">
        <x:v>complete exact live Ohio filing history and all available images confirmed; property records not yet searched</x:v>
      </x:c>
      <x:c r="M123" s="303" t="str">
        <x:v>Dissolved 1988-12-28; no corporate successor or asset recipient identified</x:v>
      </x:c>
      <x:c r="N123" s="303" t="str">
        <x:v>exact-name recorder and entity follow-up</x:v>
      </x:c>
      <x:c r="O123" s="303" t="str">
        <x:v>701784:G162_1546;701784:G532_1180;FINDING:14601;OH-SOS:728764:G532_0974</x:v>
      </x:c>
      <x:c r="P123" s="303" t="str">
        <x:v>The authorizing sole shareholder is unnamed. Shared counsel and administrative templates do not establish beneficial ownership. Argotron G532_0974 p.7 establishes inclusion in a 46-company administrative dissolution batch; it does not establish common ownership, common control, a shared property portfolio, or beneficial ownership.</x:v>
      </x:c>
    </x:row>
    <x:row r="124" ht="64" customHeight="1">
      <x:c r="A124" s="303" t="str">
        <x:v>LeeAce Inc.</x:v>
      </x:c>
      <x:c r="B124" s="303" t="str">
        <x:v>LEEACE INC.; LEEACE, INC.</x:v>
      </x:c>
      <x:c r="C124" s="303" t="str">
        <x:v>Ohio corporation / verified merger-successor lead</x:v>
      </x:c>
      <x:c r="D124" s="303" t="str">
        <x:v>Ohio</x:v>
      </x:c>
      <x:c r="E124" s="303" t="str">
        <x:v>712264</x:v>
      </x:c>
      <x:c r="F124" s="303" t="str">
        <x:v>dead / merged out</x:v>
      </x:c>
      <x:c r="G124" s="303" t="str">
        <x:v>Principal office: Columbus, Franklin County; Snow/SKWR agent address: 41 S. High St., Suite 2300, Columbus, OH 43215</x:v>
      </x:c>
      <x:c r="H124" s="303" t="str">
        <x:v>No parcel or deed identified; search predecessor through 1989-12-22 and Architonics afterward</x:v>
      </x:c>
      <x:c r="I124" s="303" t="str">
        <x:v>No Epstein role appears in the complete exact-charter history or substantive merger instrument</x:v>
      </x:c>
      <x:c r="J124" s="303" t="str">
        <x:v>No Wexner role appears in the complete exact-charter history or substantive merger instrument</x:v>
      </x:c>
      <x:c r="K124" s="303" t="str">
        <x:v>1987-12-14 to 1989-12-22</x:v>
      </x:c>
      <x:c r="L124" s="303" t="str">
        <x:v>complete exact live Ohio filing history plus primary merger agreement confirmed; property records not searched</x:v>
      </x:c>
      <x:c r="M124" s="303" t="str">
        <x:v>Merged into Architonics 1989-12-22; separate existence ceased and any property vested in the survivor</x:v>
      </x:c>
      <x:c r="N124" s="303" t="str">
        <x:v>high successor-aware property follow-up</x:v>
      </x:c>
      <x:c r="O124" s="303" t="str">
        <x:v>G290_1442; G774_0107; G774_0146;FINDING:14604</x:v>
      </x:c>
      <x:c r="P124" s="303" t="str">
        <x:v>Join the no-comma formation/export spelling and comma spelling in the merger agreement by charter 712264. The sole shareholder is unnamed. The party-specific MEX stub does not name the survivor; G774_0107 supplies the edge and asset-vesting rule.</x:v>
      </x:c>
    </x:row>
    <x:row r="125" ht="64" customHeight="1">
      <x:c r="A125" s="303" t="str">
        <x:v>Spring Harbor Properties, Inc.</x:v>
      </x:c>
      <x:c r="B125" s="303" t="str">
        <x:v>Spring Harbor Properties Inc.; Spring Harbor</x:v>
      </x:c>
      <x:c r="C125" s="303" t="str">
        <x:v>Ohio corporation / harbor-properties-name and verified merger-successor lead</x:v>
      </x:c>
      <x:c r="D125" s="303" t="str">
        <x:v>Ohio</x:v>
      </x:c>
      <x:c r="E125" s="303" t="str">
        <x:v>714675</x:v>
      </x:c>
      <x:c r="F125" s="303" t="str">
        <x:v>dead / merged out</x:v>
      </x:c>
      <x:c r="G125" s="303" t="str">
        <x:v>Principal office: Columbus, Franklin County; Snow/SKWR agent address: 41 S. High St., Suite 2300, Columbus, OH 43215</x:v>
      </x:c>
      <x:c r="H125" s="303" t="str">
        <x:v>No parcel or deed identified; search predecessor through 1989-12-22 and Architonics afterward</x:v>
      </x:c>
      <x:c r="I125" s="303" t="str">
        <x:v>No Epstein role appears in the complete exact-charter history or substantive merger instrument</x:v>
      </x:c>
      <x:c r="J125" s="303" t="str">
        <x:v>No Wexner role appears in the complete exact-charter history or substantive merger instrument</x:v>
      </x:c>
      <x:c r="K125" s="303" t="str">
        <x:v>1987-12-22 to 1989-12-22</x:v>
      </x:c>
      <x:c r="L125" s="303" t="str">
        <x:v>complete exact live Ohio filing history plus primary merger agreement confirmed; property records not searched</x:v>
      </x:c>
      <x:c r="M125" s="303" t="str">
        <x:v>Merged into Architonics 1989-12-22; separate existence ceased and any property vested in the survivor</x:v>
      </x:c>
      <x:c r="N125" s="303" t="str">
        <x:v>high successor-aware property follow-up</x:v>
      </x:c>
      <x:c r="O125" s="303" t="str">
        <x:v>G294_1112; G774_0107; G774_0170;FINDING:14604</x:v>
      </x:c>
      <x:c r="P125" s="303" t="str">
        <x:v>The exact legal name includes PROPERTIES. Harbor and Properties are search signals, not proof of landholding. The sole shareholder is unnamed; common administration does not establish beneficial ownership.</x:v>
      </x:c>
    </x:row>
    <x:row r="126" ht="64" customHeight="1">
      <x:c r="A126" s="303" t="str">
        <x:v>Meade Development Corporation</x:v>
      </x:c>
      <x:c r="B126" s="303" t="str">
        <x:v>Meade Development Corp.; Meade</x:v>
      </x:c>
      <x:c r="C126" s="303" t="str">
        <x:v>Ohio corporation / development-name and verified merger-successor lead</x:v>
      </x:c>
      <x:c r="D126" s="303" t="str">
        <x:v>Ohio</x:v>
      </x:c>
      <x:c r="E126" s="303" t="str">
        <x:v>719943</x:v>
      </x:c>
      <x:c r="F126" s="303" t="str">
        <x:v>dead / merged out</x:v>
      </x:c>
      <x:c r="G126" s="303" t="str">
        <x:v>Principal office: Columbus, Franklin County; Snow/SKWR agent address: 41 S. High St., Suite 2300, Columbus, OH 43215</x:v>
      </x:c>
      <x:c r="H126" s="303" t="str">
        <x:v>No parcel or deed identified; search predecessor through 1989-12-22 and Architonics afterward</x:v>
      </x:c>
      <x:c r="I126" s="303" t="str">
        <x:v>No Epstein role appears in the complete exact-charter history or substantive merger instrument</x:v>
      </x:c>
      <x:c r="J126" s="303" t="str">
        <x:v>No Wexner role appears in the complete exact-charter history or substantive merger instrument</x:v>
      </x:c>
      <x:c r="K126" s="303" t="str">
        <x:v>1988-03-04 to 1989-12-22</x:v>
      </x:c>
      <x:c r="L126" s="303" t="str">
        <x:v>complete exact live Ohio filing history plus primary merger agreement confirmed; property records not searched</x:v>
      </x:c>
      <x:c r="M126" s="303" t="str">
        <x:v>Merged into Architonics 1989-12-22; separate existence ceased and any property vested in the survivor</x:v>
      </x:c>
      <x:c r="N126" s="303" t="str">
        <x:v>high successor-aware property follow-up</x:v>
      </x:c>
      <x:c r="O126" s="303" t="str">
        <x:v>G339_1089; G774_0107; G774_0152;FINDING:14604</x:v>
      </x:c>
      <x:c r="P126" s="303" t="str">
        <x:v>The exact legal name is MEADE DEVELOPMENT CORPORATION. Development is a search signal, not proof of landholding. The Len Loraditch cover is a counsel clue only; the sole shareholder is unnamed.</x:v>
      </x:c>
    </x:row>
    <x:row r="127" ht="64" customHeight="1">
      <x:c r="A127" s="303" t="str">
        <x:v>Chesser Estates, Inc.</x:v>
      </x:c>
      <x:c r="B127" s="303" t="str">
        <x:v>Chesser Estates Inc.; Chesser</x:v>
      </x:c>
      <x:c r="C127" s="303" t="str">
        <x:v>Ohio corporation / estates-name and verified merger-successor lead</x:v>
      </x:c>
      <x:c r="D127" s="303" t="str">
        <x:v>Ohio</x:v>
      </x:c>
      <x:c r="E127" s="303" t="str">
        <x:v>720366</x:v>
      </x:c>
      <x:c r="F127" s="303" t="str">
        <x:v>dead / merged out</x:v>
      </x:c>
      <x:c r="G127" s="303" t="str">
        <x:v>Principal office: Columbus, Franklin County; Snow/SKWR agent address: 41 S. High St., Suite 2300, Columbus, OH 43215</x:v>
      </x:c>
      <x:c r="H127" s="303" t="str">
        <x:v>No parcel or deed identified; search predecessor through 1989-12-22 and Architonics afterward</x:v>
      </x:c>
      <x:c r="I127" s="303" t="str">
        <x:v>No Epstein role appears in the complete exact-charter history or substantive merger instrument</x:v>
      </x:c>
      <x:c r="J127" s="303" t="str">
        <x:v>No Wexner role appears in the complete exact-charter history or substantive merger instrument</x:v>
      </x:c>
      <x:c r="K127" s="303" t="str">
        <x:v>1988-03-09 to 1989-12-22</x:v>
      </x:c>
      <x:c r="L127" s="303" t="str">
        <x:v>complete exact live Ohio filing history plus primary merger agreement confirmed; property records not searched</x:v>
      </x:c>
      <x:c r="M127" s="303" t="str">
        <x:v>Merged into Architonics 1989-12-22; separate existence ceased and any property vested in the survivor</x:v>
      </x:c>
      <x:c r="N127" s="303" t="str">
        <x:v>high successor-aware property follow-up</x:v>
      </x:c>
      <x:c r="O127" s="303" t="str">
        <x:v>G343_0266; G774_0107; G774_0128;FINDING:14604</x:v>
      </x:c>
      <x:c r="P127" s="303" t="str">
        <x:v>Estates is a search signal, not proof of landholding. The formation correspondence cover is administrative/counsel evidence only. The sole shareholder is unnamed.</x:v>
      </x:c>
    </x:row>
    <x:row r="128" ht="64" customHeight="1">
      <x:c r="A128" s="303" t="str">
        <x:v>Palm Properties, Inc.</x:v>
      </x:c>
      <x:c r="B128" s="303" t="str">
        <x:v>Palm Properties Inc.; Palm</x:v>
      </x:c>
      <x:c r="C128" s="303" t="str">
        <x:v>Ohio corporation / properties-name and verified merger-successor lead</x:v>
      </x:c>
      <x:c r="D128" s="303" t="str">
        <x:v>Ohio</x:v>
      </x:c>
      <x:c r="E128" s="303" t="str">
        <x:v>720361</x:v>
      </x:c>
      <x:c r="F128" s="303" t="str">
        <x:v>dead / merged out</x:v>
      </x:c>
      <x:c r="G128" s="303" t="str">
        <x:v>Principal office: Columbus, Franklin County; Snow/SKWR agent address: 41 S. High St., Suite 2300, Columbus, OH 43215</x:v>
      </x:c>
      <x:c r="H128" s="303" t="str">
        <x:v>No parcel or deed identified; search predecessor through 1989-12-22 and Architonics afterward</x:v>
      </x:c>
      <x:c r="I128" s="303" t="str">
        <x:v>No Epstein role appears in the complete exact-charter history or substantive merger instrument</x:v>
      </x:c>
      <x:c r="J128" s="303" t="str">
        <x:v>No Wexner role appears in the complete exact-charter history or substantive merger instrument</x:v>
      </x:c>
      <x:c r="K128" s="303" t="str">
        <x:v>1988-03-09 to 1989-12-22</x:v>
      </x:c>
      <x:c r="L128" s="303" t="str">
        <x:v>complete exact live Ohio filing history plus primary merger agreement confirmed; property records not searched</x:v>
      </x:c>
      <x:c r="M128" s="303" t="str">
        <x:v>Merged into Architonics 1989-12-22; separate existence ceased and any property vested in the survivor</x:v>
      </x:c>
      <x:c r="N128" s="303" t="str">
        <x:v>high successor-aware property follow-up</x:v>
      </x:c>
      <x:c r="O128" s="303" t="str">
        <x:v>G343_0231; G774_0107; G774_0164;FINDING:14604</x:v>
      </x:c>
      <x:c r="P128" s="303" t="str">
        <x:v>Properties is a search signal, not proof of landholding. The formation correspondence cover is administrative/counsel evidence only. The sole shareholder is unnamed.</x:v>
      </x:c>
    </x:row>
    <x:row r="129" ht="64" customHeight="1">
      <x:c r="A129" s="304" t="str">
        <x:v>Timbre Properties, Inc.</x:v>
      </x:c>
      <x:c r="B129" s="304" t="str">
        <x:v>Timbre Properties Inc.; Timbre</x:v>
      </x:c>
      <x:c r="C129" s="304" t="str">
        <x:v>Ohio corporation / properties-name and verified merger-successor lead</x:v>
      </x:c>
      <x:c r="D129" s="304" t="str">
        <x:v>Ohio</x:v>
      </x:c>
      <x:c r="E129" s="304" t="str">
        <x:v>720489</x:v>
      </x:c>
      <x:c r="F129" s="304" t="str">
        <x:v>dead / merged out</x:v>
      </x:c>
      <x:c r="G129" s="304" t="str">
        <x:v>Principal office: Columbus, Franklin County; Snow/SKWR agent address: 41 S. High St., Suite 2300, Columbus, OH 43215</x:v>
      </x:c>
      <x:c r="H129" s="304" t="str">
        <x:v>No parcel or deed identified; search predecessor through 1989-12-22 and Architonics afterward</x:v>
      </x:c>
      <x:c r="I129" s="304" t="str">
        <x:v>No Epstein role appears in the complete exact-charter history or substantive merger instrument</x:v>
      </x:c>
      <x:c r="J129" s="304" t="str">
        <x:v>No Wexner role appears in the complete exact-charter history or substantive merger instrument</x:v>
      </x:c>
      <x:c r="K129" s="304" t="str">
        <x:v>1988-03-09 to 1989-12-22</x:v>
      </x:c>
      <x:c r="L129" s="304" t="str">
        <x:v>complete exact live Ohio filing history plus primary merger agreement confirmed; property records not searched</x:v>
      </x:c>
      <x:c r="M129" s="304" t="str">
        <x:v>Merged into Architonics 1989-12-22; separate existence ceased and any property vested in the survivor</x:v>
      </x:c>
      <x:c r="N129" s="304" t="str">
        <x:v>high successor-aware property follow-up</x:v>
      </x:c>
      <x:c r="O129" s="304" t="str">
        <x:v>G344_0548; G774_0107; G774_0179;FINDING:14604</x:v>
      </x:c>
      <x:c r="P129" s="304" t="str">
        <x:v>Properties is a search signal, not proof of landholding. The formation correspondence cover is administrative/counsel evidence only. The sole shareholder is unnamed.</x:v>
      </x:c>
    </x:row>
  </x:sheetData>
  <x:mergeCells>
    <x:mergeCell ref="A1:P1"/>
    <x:mergeCell ref="A2:P2"/>
  </x:mergeCells>
  <x:conditionalFormatting sqref="L5:L129">
    <x:cfRule type="containsText" dxfId="4" priority="1" operator="containsText" text="confirmed"/>
  </x:conditionalFormatting>
  <x:conditionalFormatting sqref="F5:F129">
    <x:cfRule type="containsText" dxfId="5" priority="2" operator="containsText" text="unresolved"/>
  </x:conditionalFormatting>
  <x:pageMargins left="0.7" right="0.7" top="0.75" bottom="0.75" header="0.3" footer="0.3"/>
  <x:tableParts count="1">
    <x:tablePart xmlns:r="http://schemas.openxmlformats.org/officeDocument/2006/relationships" r:id="R0d91b3dba651457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20" hidden="0" customWidth="1"/>
    <x:col min="4" max="4" width="20" hidden="0" customWidth="1"/>
    <x:col min="5" max="5" width="34" hidden="0" customWidth="1"/>
    <x:col min="6" max="6" width="28" hidden="0" customWidth="1"/>
    <x:col min="7" max="7" width="20" hidden="0" customWidth="1"/>
    <x:col min="8" max="8" width="28" hidden="0" customWidth="1"/>
    <x:col min="9" max="9" width="20" hidden="0" customWidth="1"/>
    <x:col min="10" max="10" width="20" hidden="0" customWidth="1"/>
    <x:col min="11" max="11" width="20" hidden="0" customWidth="1"/>
  </x:cols>
  <x:sheetData>
    <x:row r="1" ht="30" customHeight="1">
      <x:c r="A1" s="3" t="str">
        <x:v>Primary-record and corpus evidence ledger</x:v>
      </x:c>
      <x:c r="B1" s="3"/>
      <x:c r="C1" s="3"/>
      <x:c r="D1" s="3"/>
      <x:c r="E1" s="3"/>
      <x:c r="F1" s="3"/>
      <x:c r="G1" s="3"/>
      <x:c r="H1" s="3"/>
      <x:c r="I1" s="3"/>
      <x:c r="J1" s="3"/>
      <x:c r="K1" s="3"/>
    </x:row>
    <x:row r="2" ht="36" customHeight="1">
      <x:c r="A2" s="12" t="str">
        <x:v>Append-only evidence rows supporting the entity index. Evidence state and caveat define what each row can and cannot establish.</x:v>
      </x:c>
      <x:c r="B2" s="13"/>
      <x:c r="C2" s="13"/>
      <x:c r="D2" s="13"/>
      <x:c r="E2" s="13"/>
      <x:c r="F2" s="13"/>
      <x:c r="G2" s="13"/>
      <x:c r="H2" s="13"/>
      <x:c r="I2" s="13"/>
      <x:c r="J2" s="13"/>
      <x:c r="K2" s="14"/>
    </x:row>
    <x:row r="4" ht="32" customHeight="1">
      <x:c r="A4" s="292" t="str">
        <x:v>entity_name</x:v>
      </x:c>
      <x:c r="B4" s="293" t="str">
        <x:v>event_date</x:v>
      </x:c>
      <x:c r="C4" s="293" t="str">
        <x:v>record_type</x:v>
      </x:c>
      <x:c r="D4" s="293" t="str">
        <x:v>record_id</x:v>
      </x:c>
      <x:c r="E4" s="293" t="str">
        <x:v>source</x:v>
      </x:c>
      <x:c r="F4" s="293" t="str">
        <x:v>role_or_transaction</x:v>
      </x:c>
      <x:c r="G4" s="293" t="str">
        <x:v>people</x:v>
      </x:c>
      <x:c r="H4" s="293" t="str">
        <x:v>address_or_parcel</x:v>
      </x:c>
      <x:c r="I4" s="293" t="str">
        <x:v>verification_level</x:v>
      </x:c>
      <x:c r="J4" s="293" t="str">
        <x:v>key_fact</x:v>
      </x:c>
      <x:c r="K4" s="294" t="str">
        <x:v>caution</x:v>
      </x:c>
    </x:row>
    <x:row r="5" ht="58" customHeight="1">
      <x:c r="A5" s="302" t="str">
        <x:v>N.A. Property, Inc.</x:v>
      </x:c>
      <x:c r="B5" s="311" t="n">
        <x:v>33939.5</x:v>
      </x:c>
      <x:c r="C5" s="302" t="str">
        <x:v>foreign license</x:v>
      </x:c>
      <x:c r="D5" s="314" t="str">
        <x:v>H482_0333</x:v>
      </x:c>
      <x:c r="E5" s="302" t="str">
        <x:v>Ohio Secretary of State</x:v>
      </x:c>
      <x:c r="F5" s="302" t="str">
        <x:v>Delaware corporation licensed in Ohio; agent appointment</x:v>
      </x:c>
      <x:c r="G5" s="302" t="str">
        <x:v>Robert S. Schwartz</x:v>
      </x:c>
      <x:c r="H5" s="302" t="str">
        <x:v>5906 E Dublin-Granville Rd / Ohio record 832364</x:v>
      </x:c>
      <x:c r="I5" s="302" t="str">
        <x:v>primary_image_confirmed</x:v>
      </x:c>
      <x:c r="J5" s="302" t="str">
        <x:v>Ohio registration and Delaware jurisdiction</x:v>
      </x:c>
      <x:c r="K5" s="302" t="str">
        <x:v>Does not itself name Epstein as officer.</x:v>
      </x:c>
    </x:row>
    <x:row r="6" ht="58" customHeight="1">
      <x:c r="A6" s="303" t="str">
        <x:v>N.A. Property, Inc.</x:v>
      </x:c>
      <x:c r="B6" s="312" t="n">
        <x:v>34269.5</x:v>
      </x:c>
      <x:c r="C6" s="303" t="str">
        <x:v>Form 7</x:v>
      </x:c>
      <x:c r="D6" s="315" t="str">
        <x:v>9309_1879</x:v>
      </x:c>
      <x:c r="E6" s="303" t="str">
        <x:v>Ohio Secretary of State</x:v>
      </x:c>
      <x:c r="F6" s="303" t="str">
        <x:v>Annual report signed by president</x:v>
      </x:c>
      <x:c r="G6" s="303" t="str">
        <x:v>Jeffrey Epstein; Jeffrey J. Smith</x:v>
      </x:c>
      <x:c r="H6" s="303" t="str">
        <x:v>c/o Wexner Investment Co., 41 S High St; 5906 E Dublin-Granville Rd</x:v>
      </x:c>
      <x:c r="I6" s="303" t="str">
        <x:v>primary_image_confirmed</x:v>
      </x:c>
      <x:c r="J6" s="303" t="str">
        <x:v>Epstein signed as president</x:v>
      </x:c>
      <x:c r="K6" s="303" t="str">
        <x:v>One filing-period observation, not proof of continuous service outside the report period.</x:v>
      </x:c>
    </x:row>
    <x:row r="7" ht="58" customHeight="1">
      <x:c r="A7" s="303" t="str">
        <x:v>N.A. Property, Inc.</x:v>
      </x:c>
      <x:c r="B7" s="312" t="n">
        <x:v>34464.5</x:v>
      </x:c>
      <x:c r="C7" s="303" t="str">
        <x:v>Form 7</x:v>
      </x:c>
      <x:c r="D7" s="315" t="str">
        <x:v>4270_1598</x:v>
      </x:c>
      <x:c r="E7" s="303" t="str">
        <x:v>Ohio Secretary of State</x:v>
      </x:c>
      <x:c r="F7" s="303" t="str">
        <x:v>Annual report signed by president</x:v>
      </x:c>
      <x:c r="G7" s="303" t="str">
        <x:v>Jeffrey E. Epstein</x:v>
      </x:c>
      <x:c r="H7" s="303" t="str">
        <x:v>Return to 457 Madison Ave 5th Fl; 5906 E Dublin-Granville Rd</x:v>
      </x:c>
      <x:c r="I7" s="303" t="str">
        <x:v>primary_image_confirmed</x:v>
      </x:c>
      <x:c r="J7" s="303" t="str">
        <x:v>Epstein signed as president and was the return contact</x:v>
      </x:c>
      <x:c r="K7" s="303" t="str">
        <x:v>Do not infer beneficial ownership.</x:v>
      </x:c>
    </x:row>
    <x:row r="8" ht="58" customHeight="1">
      <x:c r="A8" s="303" t="str">
        <x:v>N.A. Property, Inc.</x:v>
      </x:c>
      <x:c r="B8" s="312" t="n">
        <x:v>34801.5</x:v>
      </x:c>
      <x:c r="C8" s="303" t="str">
        <x:v>trade-name filing</x:v>
      </x:c>
      <x:c r="D8" s="315" t="str">
        <x:v>5119_0009</x:v>
      </x:c>
      <x:c r="E8" s="303" t="str">
        <x:v>Ohio Secretary of State</x:v>
      </x:c>
      <x:c r="F8" s="303" t="str">
        <x:v>Registered The New Albany Investment Company</x:v>
      </x:c>
      <x:c r="G8" s="303" t="str">
        <x:v>N.A. Property, Inc.</x:v>
      </x:c>
      <x:c r="H8" s="303" t="str">
        <x:v>5906 E Dublin-Granville Rd</x:v>
      </x:c>
      <x:c r="I8" s="303" t="str">
        <x:v>primary_image_confirmed</x:v>
      </x:c>
      <x:c r="J8" s="303" t="str">
        <x:v>Trade name used since 1995-04-01 for an investment holding company</x:v>
      </x:c>
      <x:c r="K8" s="303" t="str">
        <x:v>Trade name is not necessarily a separate entity.</x:v>
      </x:c>
    </x:row>
    <x:row r="9" ht="58" customHeight="1">
      <x:c r="A9" s="303" t="str">
        <x:v>N.A. Property, Inc.</x:v>
      </x:c>
      <x:c r="B9" s="312" t="n">
        <x:v>34975.5</x:v>
      </x:c>
      <x:c r="C9" s="303" t="str">
        <x:v>Form 7</x:v>
      </x:c>
      <x:c r="D9" s="315" t="str">
        <x:v>5374_0707</x:v>
      </x:c>
      <x:c r="E9" s="303" t="str">
        <x:v>Ohio Secretary of State</x:v>
      </x:c>
      <x:c r="F9" s="303" t="str">
        <x:v>Annual report signed by president</x:v>
      </x:c>
      <x:c r="G9" s="303" t="str">
        <x:v>Jeffrey Epstein</x:v>
      </x:c>
      <x:c r="H9" s="303" t="str">
        <x:v>5906 E Dublin-Granville Rd</x:v>
      </x:c>
      <x:c r="I9" s="303" t="str">
        <x:v>primary_image_confirmed</x:v>
      </x:c>
      <x:c r="J9" s="303" t="str">
        <x:v>Epstein signed as president</x:v>
      </x:c>
      <x:c r="K9" s="303" t="str">
        <x:v>No removal event.</x:v>
      </x:c>
    </x:row>
    <x:row r="10" ht="58" customHeight="1">
      <x:c r="A10" s="303" t="str">
        <x:v>N.A. Property, Inc.</x:v>
      </x:c>
      <x:c r="B10" s="312" t="n">
        <x:v>35340.5</x:v>
      </x:c>
      <x:c r="C10" s="303" t="str">
        <x:v>Form 7</x:v>
      </x:c>
      <x:c r="D10" s="315" t="str">
        <x:v>5907_0703</x:v>
      </x:c>
      <x:c r="E10" s="303" t="str">
        <x:v>Ohio Secretary of State</x:v>
      </x:c>
      <x:c r="F10" s="303" t="str">
        <x:v>Annual report signed by president</x:v>
      </x:c>
      <x:c r="G10" s="303" t="str">
        <x:v>Jeffrey Epstein</x:v>
      </x:c>
      <x:c r="H10" s="303" t="str">
        <x:v>5906 E Dublin-Granville Rd</x:v>
      </x:c>
      <x:c r="I10" s="303" t="str">
        <x:v>primary_image_confirmed</x:v>
      </x:c>
      <x:c r="J10" s="303" t="str">
        <x:v>Epstein signed as president</x:v>
      </x:c>
      <x:c r="K10" s="303" t="str">
        <x:v>No removal event.</x:v>
      </x:c>
    </x:row>
    <x:row r="11" ht="58" customHeight="1">
      <x:c r="A11" s="303" t="str">
        <x:v>N.A. Property, Inc.</x:v>
      </x:c>
      <x:c r="B11" s="312" t="n">
        <x:v>35850.5</x:v>
      </x:c>
      <x:c r="C11" s="303" t="str">
        <x:v>Form 7 / portal date conflict</x:v>
      </x:c>
      <x:c r="D11" s="315" t="str">
        <x:v>199927801808</x:v>
      </x:c>
      <x:c r="E11" s="303" t="str">
        <x:v>Ohio Secretary of State</x:v>
      </x:c>
      <x:c r="F11" s="303" t="str">
        <x:v>Annual report signed by president</x:v>
      </x:c>
      <x:c r="G11" s="303" t="str">
        <x:v>Jeffrey Epstein</x:v>
      </x:c>
      <x:c r="H11" s="303" t="str">
        <x:v>5906 E Dublin-Granville Rd</x:v>
      </x:c>
      <x:c r="I11" s="303" t="str">
        <x:v>primary_image_confirmed</x:v>
      </x:c>
      <x:c r="J11" s="303" t="str">
        <x:v>Document is notarized 1998-02-12 and approved 1998-02-24; portal table shows 1997-09-30</x:v>
      </x:c>
      <x:c r="K11" s="303" t="str">
        <x:v>Preserve both the portal and internal dates.</x:v>
      </x:c>
    </x:row>
    <x:row r="12" ht="58" customHeight="1">
      <x:c r="A12" s="303" t="str">
        <x:v>N.A. Property, Inc.</x:v>
      </x:c>
      <x:c r="B12" s="312" t="n">
        <x:v>39713.5</x:v>
      </x:c>
      <x:c r="C12" s="303" t="str">
        <x:v>agent change</x:v>
      </x:c>
      <x:c r="D12" s="315" t="str">
        <x:v>200826701516</x:v>
      </x:c>
      <x:c r="E12" s="303" t="str">
        <x:v>Ohio Secretary of State</x:v>
      </x:c>
      <x:c r="F12" s="303" t="str">
        <x:v>Statutory agent replaced</x:v>
      </x:c>
      <x:c r="G12" s="303" t="str">
        <x:v>Robert S. Schwartz; C T Corporation System</x:v>
      </x:c>
      <x:c r="H12" s="303"/>
      <x:c r="I12" s="303" t="str">
        <x:v>primary_image_confirmed</x:v>
      </x:c>
      <x:c r="J12" s="303" t="str">
        <x:v>Only the statutory agent changed</x:v>
      </x:c>
      <x:c r="K12" s="303" t="str">
        <x:v>This is not evidence of Epstein's officer removal.</x:v>
      </x:c>
    </x:row>
    <x:row r="13" ht="58" customHeight="1">
      <x:c r="A13" s="303" t="str">
        <x:v>The New Albany Company LLC</x:v>
      </x:c>
      <x:c r="B13" s="312" t="n">
        <x:v>36059.5</x:v>
      </x:c>
      <x:c r="C13" s="303" t="str">
        <x:v>foreign LLC registration</x:v>
      </x:c>
      <x:c r="D13" s="315" t="str">
        <x:v>199826701876</x:v>
      </x:c>
      <x:c r="E13" s="303" t="str">
        <x:v>Ohio Secretary of State</x:v>
      </x:c>
      <x:c r="F13" s="303" t="str">
        <x:v>N.A. Property was managing member; Epstein signed as its president; Wexner signed as managing member</x:v>
      </x:c>
      <x:c r="G13" s="303" t="str">
        <x:v>Jeffrey Epstein; Leslie H. Wexner</x:v>
      </x:c>
      <x:c r="H13" s="303" t="str">
        <x:v>5906 E Dublin-Granville Rd / Ohio record 1034132</x:v>
      </x:c>
      <x:c r="I13" s="303" t="str">
        <x:v>primary_image_confirmed</x:v>
      </x:c>
      <x:c r="J13" s="303" t="str">
        <x:v>Direct Epstein-Wexner corporate-management link</x:v>
      </x:c>
      <x:c r="K13" s="303" t="str">
        <x:v>Epstein is not listed as an individual managing member; his authority runs through N.A. Property.</x:v>
      </x:c>
    </x:row>
    <x:row r="14" ht="58" customHeight="1">
      <x:c r="A14" s="303" t="str">
        <x:v>The New Albany Company LLC</x:v>
      </x:c>
      <x:c r="B14" s="312" t="n">
        <x:v>36076.5</x:v>
      </x:c>
      <x:c r="C14" s="303" t="str">
        <x:v>foreign merger</x:v>
      </x:c>
      <x:c r="D14" s="315" t="str">
        <x:v>199828200362</x:v>
      </x:c>
      <x:c r="E14" s="303" t="str">
        <x:v>Ohio Secretary of State</x:v>
      </x:c>
      <x:c r="F14" s="303" t="str">
        <x:v>Predecessor limited partnership merged into LLC</x:v>
      </x:c>
      <x:c r="G14" s="303" t="str">
        <x:v>The New Albany Company Limited Partnership</x:v>
      </x:c>
      <x:c r="H14" s="303" t="str">
        <x:v>Ohio predecessor 958102</x:v>
      </x:c>
      <x:c r="I14" s="303" t="str">
        <x:v>primary_image_confirmed</x:v>
      </x:c>
      <x:c r="J14" s="303" t="str">
        <x:v>LLC survived the 1998-10-07 Delaware merger</x:v>
      </x:c>
      <x:c r="K14" s="303" t="str">
        <x:v>No officer-removal information.</x:v>
      </x:c>
    </x:row>
    <x:row r="15" ht="58" customHeight="1">
      <x:c r="A15" s="303" t="str">
        <x:v>The New Albany Company LLC</x:v>
      </x:c>
      <x:c r="B15" s="312" t="n">
        <x:v>38625.5</x:v>
      </x:c>
      <x:c r="C15" s="303" t="str">
        <x:v>fax and valuation schedule</x:v>
      </x:c>
      <x:c r="D15" s="315" t="str">
        <x:v>DOJ-OGR-00032938; DOJ-OGR-00032937</x:v>
      </x:c>
      <x:c r="E15" s="303" t="str">
        <x:v>Kabasshouse / DOJ corpus</x:v>
      </x:c>
      <x:c r="F15" s="303" t="str">
        <x:v>Managed and excluded property valuation sent to Epstein</x:v>
      </x:c>
      <x:c r="G15" s="303" t="str">
        <x:v>Brent Bradbury; Jeffrey Epstein</x:v>
      </x:c>
      <x:c r="H15" s="303" t="str">
        <x:v>New Albany property portfolio</x:v>
      </x:c>
      <x:c r="I15" s="303" t="str">
        <x:v>direct_quote_primary_business_record</x:v>
      </x:c>
      <x:c r="J15" s="303" t="str">
        <x:v>Epstein received a property portfolio comparison; remaining managed-property value estimated at $98,508,332</x:v>
      </x:c>
      <x:c r="K15" s="303" t="str">
        <x:v>Project labels are not full legal entity names.</x:v>
      </x:c>
    </x:row>
    <x:row r="16" ht="58" customHeight="1">
      <x:c r="A16" s="303" t="str">
        <x:v>Parkview Financial, Inc.</x:v>
      </x:c>
      <x:c r="B16" s="312" t="n">
        <x:v>30634.5</x:v>
      </x:c>
      <x:c r="C16" s="303" t="str">
        <x:v>articles</x:v>
      </x:c>
      <x:c r="D16" s="315" t="str">
        <x:v>F356_1315</x:v>
      </x:c>
      <x:c r="E16" s="303" t="str">
        <x:v>Ohio Secretary of State</x:v>
      </x:c>
      <x:c r="F16" s="303" t="str">
        <x:v>LEWEX, INC. incorporated</x:v>
      </x:c>
      <x:c r="G16" s="303" t="str">
        <x:v>Stanley Schwartz Jr.</x:v>
      </x:c>
      <x:c r="H16" s="303" t="str">
        <x:v>Columbus, OH / Ohio record 623762</x:v>
      </x:c>
      <x:c r="I16" s="303" t="str">
        <x:v>primary_image_confirmed</x:v>
      </x:c>
      <x:c r="J16" s="303" t="str">
        <x:v>Original corporate name was LEWEX, INC.</x:v>
      </x:c>
      <x:c r="K16" s="303" t="str">
        <x:v>No Epstein role in the articles.</x:v>
      </x:c>
    </x:row>
    <x:row r="17" ht="58" customHeight="1">
      <x:c r="A17" s="303" t="str">
        <x:v>Parkview Financial, Inc.</x:v>
      </x:c>
      <x:c r="B17" s="312" t="n">
        <x:v>30649.5</x:v>
      </x:c>
      <x:c r="C17" s="303" t="str">
        <x:v>name-change amendment</x:v>
      </x:c>
      <x:c r="D17" s="315" t="str">
        <x:v>F370_1761</x:v>
      </x:c>
      <x:c r="E17" s="303" t="str">
        <x:v>Ohio Secretary of State</x:v>
      </x:c>
      <x:c r="F17" s="303" t="str">
        <x:v>LEWEX renamed Parkview Financial</x:v>
      </x:c>
      <x:c r="G17" s="303" t="str">
        <x:v>Leslie H. Wexner; Stanley Schwartz Jr.</x:v>
      </x:c>
      <x:c r="H17" s="303" t="str">
        <x:v>Columbus, OH</x:v>
      </x:c>
      <x:c r="I17" s="303" t="str">
        <x:v>primary_image_confirmed</x:v>
      </x:c>
      <x:c r="J17" s="303" t="str">
        <x:v>Wexner signed as president</x:v>
      </x:c>
      <x:c r="K17" s="303" t="str">
        <x:v>No Epstein role in this amendment.</x:v>
      </x:c>
    </x:row>
    <x:row r="18" ht="58" customHeight="1">
      <x:c r="A18" s="303" t="str">
        <x:v>Parkview Financial, Inc.</x:v>
      </x:c>
      <x:c r="B18" s="312" t="n">
        <x:v>31365.5</x:v>
      </x:c>
      <x:c r="C18" s="303" t="str">
        <x:v>agent-address change</x:v>
      </x:c>
      <x:c r="D18" s="315" t="str">
        <x:v>F778_1849</x:v>
      </x:c>
      <x:c r="E18" s="303" t="str">
        <x:v>Ohio Secretary of State</x:v>
      </x:c>
      <x:c r="F18" s="303" t="str">
        <x:v>Agent address moved to 41 S High St</x:v>
      </x:c>
      <x:c r="G18" s="303" t="str">
        <x:v>Harold Levin; Stanley Schwartz Jr.</x:v>
      </x:c>
      <x:c r="H18" s="303" t="str">
        <x:v>41 S High St, Columbus, OH</x:v>
      </x:c>
      <x:c r="I18" s="303" t="str">
        <x:v>primary_image_confirmed</x:v>
      </x:c>
      <x:c r="J18" s="303" t="str">
        <x:v>Harold Levin signed as vice president</x:v>
      </x:c>
      <x:c r="K18" s="303" t="str">
        <x:v>Officer sequence predates Epstein's documented 1990 role.</x:v>
      </x:c>
    </x:row>
    <x:row r="19" ht="58" customHeight="1">
      <x:c r="A19" s="303" t="str">
        <x:v>Parkview Financial, Inc.</x:v>
      </x:c>
      <x:c r="B19" s="312" t="n">
        <x:v>33233.5</x:v>
      </x:c>
      <x:c r="C19" s="303" t="str">
        <x:v>dissolution</x:v>
      </x:c>
      <x:c r="D19" s="315" t="str">
        <x:v>H042_1308</x:v>
      </x:c>
      <x:c r="E19" s="303" t="str">
        <x:v>Ohio Secretary of State</x:v>
      </x:c>
      <x:c r="F19" s="303" t="str">
        <x:v>Corporation dissolved</x:v>
      </x:c>
      <x:c r="G19" s="303" t="str">
        <x:v>Leslie H. Wexner; Jeffrey E. Epstein; Lu Klaiber</x:v>
      </x:c>
      <x:c r="H19" s="303" t="str">
        <x:v>c/o Wexner Investment Co., 41 S High St</x:v>
      </x:c>
      <x:c r="I19" s="303" t="str">
        <x:v>primary_image_confirmed</x:v>
      </x:c>
      <x:c r="J19" s="303" t="str">
        <x:v>Epstein was vice president/treasurer; Wexner was director/president; Epstein signed</x:v>
      </x:c>
      <x:c r="K19" s="303" t="str">
        <x:v>Dissolution closes the entity but does not establish when Epstein was first appointed.</x:v>
      </x:c>
    </x:row>
    <x:row r="20" ht="58" customHeight="1">
      <x:c r="A20" s="303" t="str">
        <x:v>HHD &amp; B LLC</x:v>
      </x:c>
      <x:c r="B20" s="312" t="n">
        <x:v>33926.5</x:v>
      </x:c>
      <x:c r="C20" s="303" t="str">
        <x:v>fiduciary deed</x:v>
      </x:c>
      <x:c r="D20" s="315" t="str">
        <x:v>199211180228288</x:v>
      </x:c>
      <x:c r="E20" s="303" t="str">
        <x:v>Franklin County Recorder</x:v>
      </x:c>
      <x:c r="F20" s="303" t="str">
        <x:v>JW&amp;CPK &amp; Co., trustee, conveyed a 30.368-acre tract and driveway easement to Epstein</x:v>
      </x:c>
      <x:c r="G20" s="303" t="str">
        <x:v>Jeffrey E. Epstein; JW&amp;CPK &amp; Co., trustee</x:v>
      </x:c>
      <x:c r="H20" s="303" t="str">
        <x:v>Current parcel 222-001350-00; predecessor parcel 222-293; 5025 Granville Road</x:v>
      </x:c>
      <x:c r="I20" s="303" t="str">
        <x:v>primary_image_confirmed</x:v>
      </x:c>
      <x:c r="J20" s="303" t="str">
        <x:v>The deed face has a $3,500 conveyance-tax stamp; the separate Auditor sales record reports $3,500,000</x:v>
      </x:c>
      <x:c r="K20" s="303" t="str">
        <x:v>The tax stamp is not the sale price; current parcel identity is an Auditor/title crosswalk.</x:v>
      </x:c>
    </x:row>
    <x:row r="21" ht="58" customHeight="1">
      <x:c r="A21" s="303" t="str">
        <x:v>HHD &amp; B LLC</x:v>
      </x:c>
      <x:c r="B21" s="312" t="n">
        <x:v>35928.5</x:v>
      </x:c>
      <x:c r="C21" s="303" t="str">
        <x:v>general warranty deed</x:v>
      </x:c>
      <x:c r="D21" s="315" t="str">
        <x:v>199805130116673</x:v>
      </x:c>
      <x:c r="E21" s="303" t="str">
        <x:v>Franklin County Recorder</x:v>
      </x:c>
      <x:c r="F21" s="303" t="str">
        <x:v>Epstein conveyed the same 30.368-acre tract to H.H.D.&amp;B. LLC</x:v>
      </x:c>
      <x:c r="G21" s="303" t="str">
        <x:v>Jeffrey E. Epstein; H.H.D.&amp;B. LLC</x:v>
      </x:c>
      <x:c r="H21" s="303" t="str">
        <x:v>Parcel 222-001350 / 5025 Granville Road; tax mail P.O. Box 204, New Albany</x:v>
      </x:c>
      <x:c r="I21" s="303" t="str">
        <x:v>primary_image_confirmed</x:v>
      </x:c>
      <x:c r="J21" s="303" t="str">
        <x:v>The deed states valuable consideration; its $8,000 stamp is conveyance tax and the separate Auditor sales record reports $8,000,000</x:v>
      </x:c>
      <x:c r="K21" s="303" t="str">
        <x:v>The deed does not reveal LLC members or beneficial ownership after conveyance.</x:v>
      </x:c>
    </x:row>
    <x:row r="22" ht="58" customHeight="1">
      <x:c r="A22" s="303" t="str">
        <x:v>HHD &amp; B LLC</x:v>
      </x:c>
      <x:c r="B22" s="312" t="n">
        <x:v>37252.5</x:v>
      </x:c>
      <x:c r="C22" s="303" t="str">
        <x:v>notice of commencement</x:v>
      </x:c>
      <x:c r="D22" s="315" t="str">
        <x:v>200112270301721</x:v>
      </x:c>
      <x:c r="E22" s="303" t="str">
        <x:v>Franklin County Recorder</x:v>
      </x:c>
      <x:c r="F22" s="303" t="str">
        <x:v>Notice for alterations to the Rotunda House</x:v>
      </x:c>
      <x:c r="G22" s="303" t="str">
        <x:v>HHD&amp;B LLC; A. Charles Miller; Miller &amp; Raved Inc.</x:v>
      </x:c>
      <x:c r="H22" s="303" t="str">
        <x:v>30.368 acres / parcel 222-001350</x:v>
      </x:c>
      <x:c r="I22" s="303" t="str">
        <x:v>primary_image_confirmed</x:v>
      </x:c>
      <x:c r="J22" s="303" t="str">
        <x:v>HHD&amp;B was the owner/part owner/lessee contracting for the improvement</x:v>
      </x:c>
      <x:c r="K22" s="303" t="str">
        <x:v>The lender field says “None” only for improvement financing; it does not establish that the parcel was mortgage-free.</x:v>
      </x:c>
    </x:row>
    <x:row r="23" ht="58" customHeight="1">
      <x:c r="A23" s="303" t="str">
        <x:v>Morsham Land Corp.</x:v>
      </x:c>
      <x:c r="B23" s="312" t="n">
        <x:v>32148.5</x:v>
      </x:c>
      <x:c r="C23" s="303" t="str">
        <x:v>general warranty deed</x:v>
      </x:c>
      <x:c r="D23" s="315" t="str">
        <x:v>198801060052123</x:v>
      </x:c>
      <x:c r="E23" s="303" t="str">
        <x:v>Franklin County Recorder</x:v>
      </x:c>
      <x:c r="F23" s="303" t="str">
        <x:v>Morsham acquired 50.086 acres</x:v>
      </x:c>
      <x:c r="G23" s="303" t="str">
        <x:v>Morsham Land Corp.; Leland F. Brubaker; Dorothy Snow</x:v>
      </x:c>
      <x:c r="H23" s="303" t="str">
        <x:v>USML range 17; tax statements to Dorothy Snow at 41 S. High St., Suite 2300</x:v>
      </x:c>
      <x:c r="I23" s="303" t="str">
        <x:v>primary_image_confirmed</x:v>
      </x:c>
      <x:c r="J23" s="303" t="str">
        <x:v>Dorothy Snow was the named Morsham tax-mailing contact</x:v>
      </x:c>
      <x:c r="K23" s="303" t="str">
        <x:v>A tax-mailing contact is not proof of ownership or beneficial control.</x:v>
      </x:c>
    </x:row>
    <x:row r="24" ht="58" customHeight="1">
      <x:c r="A24" s="303" t="str">
        <x:v>Morsham Land Corp.</x:v>
      </x:c>
      <x:c r="B24" s="312" t="n">
        <x:v>35384.5</x:v>
      </x:c>
      <x:c r="C24" s="303" t="str">
        <x:v>special warranty deed</x:v>
      </x:c>
      <x:c r="D24" s="315" t="str">
        <x:v>199611150229244</x:v>
      </x:c>
      <x:c r="E24" s="303" t="str">
        <x:v>Franklin County Recorder</x:v>
      </x:c>
      <x:c r="F24" s="303" t="str">
        <x:v>Eastern Ohio Holding Company conveyed 35.686 acres to The New Albany Company Limited Partnership</x:v>
      </x:c>
      <x:c r="G24" s="303" t="str">
        <x:v>Eastern Ohio Holding Company; The New Albany Company Limited Partnership</x:v>
      </x:c>
      <x:c r="H24" s="303" t="str">
        <x:v>35.686 acres USML QT4 T2 R17</x:v>
      </x:c>
      <x:c r="I24" s="303" t="str">
        <x:v>primary_image_confirmed</x:v>
      </x:c>
      <x:c r="J24" s="303" t="str">
        <x:v>The deed expressly identifies Eastern Ohio as successor by merger to Morsham</x:v>
      </x:c>
      <x:c r="K24" s="303" t="str">
        <x:v>This is direct land-title recital evidence; the Ohio SOS merger packet separately supplies the statutory survivor fact.</x:v>
      </x:c>
    </x:row>
    <x:row r="25" ht="58" customHeight="1">
      <x:c r="A25" s="303" t="str">
        <x:v>Morsham Land Corp.</x:v>
      </x:c>
      <x:c r="B25" s="312" t="n">
        <x:v>35479.5</x:v>
      </x:c>
      <x:c r="C25" s="303" t="str">
        <x:v>special warranty deed</x:v>
      </x:c>
      <x:c r="D25" s="315" t="str">
        <x:v>199702180037606</x:v>
      </x:c>
      <x:c r="E25" s="303" t="str">
        <x:v>Franklin County Recorder</x:v>
      </x:c>
      <x:c r="F25" s="303" t="str">
        <x:v>Eastern Ohio conveyed Morsham-derived acreage to The New Albany Company Limited Partnership</x:v>
      </x:c>
      <x:c r="G25" s="303" t="str">
        <x:v>Eastern Ohio Holding Company; Black Sheep Inc.; The New Albany Company Limited Partnership</x:v>
      </x:c>
      <x:c r="H25" s="303" t="str">
        <x:v>76.256 acres and related tract detail</x:v>
      </x:c>
      <x:c r="I25" s="303" t="str">
        <x:v>primary_image_confirmed</x:v>
      </x:c>
      <x:c r="J25" s="303" t="str">
        <x:v>The deed identifies Eastern Ohio as successor by merger to Morsham</x:v>
      </x:c>
      <x:c r="K25" s="303" t="str">
        <x:v>Black Sheep is named as co-grantor but has no separate execution in the reviewed pages; that discrepancy remains unresolved.</x:v>
      </x:c>
    </x:row>
    <x:row r="26" ht="58" customHeight="1">
      <x:c r="A26" s="303" t="str">
        <x:v>Morsham Land Corp.</x:v>
      </x:c>
      <x:c r="B26" s="312" t="n">
        <x:v>35479.5</x:v>
      </x:c>
      <x:c r="C26" s="303" t="str">
        <x:v>special warranty deed</x:v>
      </x:c>
      <x:c r="D26" s="315" t="str">
        <x:v>199702180037607</x:v>
      </x:c>
      <x:c r="E26" s="303" t="str">
        <x:v>Franklin County Recorder</x:v>
      </x:c>
      <x:c r="F26" s="303" t="str">
        <x:v>Eastern Ohio conveyed a 34.058-acre Morsham-derived tract to The New Albany Company Limited Partnership</x:v>
      </x:c>
      <x:c r="G26" s="303" t="str">
        <x:v>Eastern Ohio Holding Company; Black Sheep Inc.; The New Albany Company Limited Partnership</x:v>
      </x:c>
      <x:c r="H26" s="303" t="str">
        <x:v>34.058 acres USML T2 R17</x:v>
      </x:c>
      <x:c r="I26" s="303" t="str">
        <x:v>primary_image_confirmed</x:v>
      </x:c>
      <x:c r="J26" s="303" t="str">
        <x:v>The deed identifies Eastern Ohio as successor by merger to Morsham</x:v>
      </x:c>
      <x:c r="K26" s="303" t="str">
        <x:v>Black Sheep's party/execution discrepancy remains unresolved.</x:v>
      </x:c>
    </x:row>
    <x:row r="27" ht="58" customHeight="1">
      <x:c r="A27" s="303" t="str">
        <x:v>Morsham Land Corp.</x:v>
      </x:c>
      <x:c r="B27" s="312" t="n">
        <x:v>35062.5</x:v>
      </x:c>
      <x:c r="C27" s="303" t="str">
        <x:v>merged-out status packet</x:v>
      </x:c>
      <x:c r="D27" s="315" t="str">
        <x:v>5422_1216</x:v>
      </x:c>
      <x:c r="E27" s="303" t="str">
        <x:v>Ohio Secretary of State</x:v>
      </x:c>
      <x:c r="F27" s="303" t="str">
        <x:v>MEX certificate and later processing statement</x:v>
      </x:c>
      <x:c r="G27" s="303" t="str">
        <x:v>New Albany Company; W. W. Vaughan III</x:v>
      </x:c>
      <x:c r="H27" s="303" t="str">
        <x:v>5906 E Dublin Granvle Rd., New Albany, OH 43054</x:v>
      </x:c>
      <x:c r="I27" s="303" t="str">
        <x:v>primary_image_confirmed</x:v>
      </x:c>
      <x:c r="J27" s="303" t="str">
        <x:v>Packet confirms Morsham's merged-out status and routes the later status document to New Albany Company</x:v>
      </x:c>
      <x:c r="K27" s="303" t="str">
        <x:v>This short packet does not name the survivor; the separate substantive packet 5422_1190 does.</x:v>
      </x:c>
    </x:row>
    <x:row r="28" ht="58" customHeight="1">
      <x:c r="A28" s="303" t="str">
        <x:v>ASW Holdings, Inc.</x:v>
      </x:c>
      <x:c r="B28" s="312" t="n">
        <x:v>36689.5</x:v>
      </x:c>
      <x:c r="C28" s="303" t="str">
        <x:v>Schedule 13D/A</x:v>
      </x:c>
      <x:c r="D28" s="315" t="str">
        <x:v>SEC:901359:000090951800000392</x:v>
      </x:c>
      <x:c r="E28" s="303" t="str">
        <x:v>SEC EDGAR</x:v>
      </x:c>
      <x:c r="F28" s="303" t="str">
        <x:v>Epstein was president, director, and executive officer</x:v>
      </x:c>
      <x:c r="G28" s="303" t="str">
        <x:v>Jeffrey E. Epstein; Abigail S. Wexner</x:v>
      </x:c>
      <x:c r="H28" s="303" t="str">
        <x:v>6525 W Campus Oval, Suite 105</x:v>
      </x:c>
      <x:c r="I28" s="303" t="str">
        <x:v>primary_sec_filing_confirmed</x:v>
      </x:c>
      <x:c r="J28" s="303" t="str">
        <x:v>Delaware corporation operated from New Albany and was owned by ASW Investments</x:v>
      </x:c>
      <x:c r="K28" s="303" t="str">
        <x:v>Exact Ohio SOS name search returned zero; Ohio office does not imply Ohio registration.</x:v>
      </x:c>
    </x:row>
    <x:row r="29" ht="58" customHeight="1">
      <x:c r="A29" s="303" t="str">
        <x:v>R.A. Property, Inc.</x:v>
      </x:c>
      <x:c r="B29" s="312" t="n">
        <x:v>38310.5</x:v>
      </x:c>
      <x:c r="C29" s="303" t="str">
        <x:v>check record</x:v>
      </x:c>
      <x:c r="D29" s="315" t="str">
        <x:v>EFTA01497064</x:v>
      </x:c>
      <x:c r="E29" s="303" t="str">
        <x:v>Kabasshouse / JPMorgan record</x:v>
      </x:c>
      <x:c r="F29" s="303" t="str">
        <x:v>NES, LLC paid R.A. Property, Inc. $7,173.96</x:v>
      </x:c>
      <x:c r="G29" s="303" t="str">
        <x:v>NES, LLC</x:v>
      </x:c>
      <x:c r="H29" s="303" t="str">
        <x:v>423 W Campus Dr, Suite 180, New Albany, OH</x:v>
      </x:c>
      <x:c r="I29" s="303" t="str">
        <x:v>direct_quote_primary_business_record</x:v>
      </x:c>
      <x:c r="J29" s="303" t="str">
        <x:v>Exact company name, amount, date, and payee address</x:v>
      </x:c>
      <x:c r="K29" s="303" t="str">
        <x:v>Payment purpose and property title are unverified.</x:v>
      </x:c>
    </x:row>
    <x:row r="30" ht="58" customHeight="1">
      <x:c r="A30" s="303" t="str">
        <x:v>New Albany Realty</x:v>
      </x:c>
      <x:c r="B30" s="312" t="str">
        <x:v>2005</x:v>
      </x:c>
      <x:c r="C30" s="303" t="str">
        <x:v>cash-flow report</x:v>
      </x:c>
      <x:c r="D30" s="315" t="str">
        <x:v>EFTA00577400</x:v>
      </x:c>
      <x:c r="E30" s="303" t="str">
        <x:v>Kabasshouse</x:v>
      </x:c>
      <x:c r="F30" s="303" t="str">
        <x:v>Subsidiary funding line</x:v>
      </x:c>
      <x:c r="G30" s="303" t="str">
        <x:v>The New Albany Company</x:v>
      </x:c>
      <x:c r="H30" s="303"/>
      <x:c r="I30" s="303" t="str">
        <x:v>direct_quote_primary_business_record</x:v>
      </x:c>
      <x:c r="J30" s="303" t="str">
        <x:v>New Albany Realty appears as a subsidiary-funding label</x:v>
      </x:c>
      <x:c r="K30" s="303" t="str">
        <x:v>Legal suffix, jurisdiction, and parcel are unknown.</x:v>
      </x:c>
    </x:row>
    <x:row r="31" ht="58" customHeight="1">
      <x:c r="A31" s="303" t="str">
        <x:v>L.A.W. Plantation Management Corp.</x:v>
      </x:c>
      <x:c r="B31" s="312" t="str">
        <x:v>unknown</x:v>
      </x:c>
      <x:c r="C31" s="303" t="str">
        <x:v>business-information reports</x:v>
      </x:c>
      <x:c r="D31" s="315" t="str">
        <x:v>EFTA01387832; EFTA01480668</x:v>
      </x:c>
      <x:c r="E31" s="303" t="str">
        <x:v>Kabasshouse embedded secondary records</x:v>
      </x:c>
      <x:c r="F31" s="303" t="str">
        <x:v>Candidate officer listings</x:v>
      </x:c>
      <x:c r="G31" s="303" t="str">
        <x:v>Jeffrey E. Epstein; Darren Indyke</x:v>
      </x:c>
      <x:c r="H31" s="303" t="str">
        <x:v>6525 W Campus Oval; 8000 Walton Pkwy</x:v>
      </x:c>
      <x:c r="I31" s="303" t="str">
        <x:v>secondary_aggregator_only</x:v>
      </x:c>
      <x:c r="J31" s="303" t="str">
        <x:v>Provides controlled name/address variants for registry search</x:v>
      </x:c>
      <x:c r="K31" s="303" t="str">
        <x:v>Not primary proof of officer role, jurisdiction, or dates.</x:v>
      </x:c>
    </x:row>
    <x:row r="32" ht="58" customHeight="1">
      <x:c r="A32" s="303" t="str">
        <x:v>H.R.E.I. Trust</x:v>
      </x:c>
      <x:c r="B32" s="312" t="n">
        <x:v>37862.5</x:v>
      </x:c>
      <x:c r="C32" s="303" t="str">
        <x:v>Schedule 13D/A</x:v>
      </x:c>
      <x:c r="D32" s="315" t="str">
        <x:v>SEC:901359:000090951803000656</x:v>
      </x:c>
      <x:c r="E32" s="303" t="str">
        <x:v>SEC EDGAR</x:v>
      </x:c>
      <x:c r="F32" s="303" t="str">
        <x:v>Ohio trust with Wexner and Epstein as trustees</x:v>
      </x:c>
      <x:c r="G32" s="303" t="str">
        <x:v>Leslie H. Wexner; Jeffrey E. Epstein</x:v>
      </x:c>
      <x:c r="H32" s="303" t="str">
        <x:v>6525 W Campus Oval, Suite 105</x:v>
      </x:c>
      <x:c r="I32" s="303" t="str">
        <x:v>primary_sec_filing_confirmed</x:v>
      </x:c>
      <x:c r="J32" s="303" t="str">
        <x:v>Direct Ohio trust and role evidence</x:v>
      </x:c>
      <x:c r="K32" s="303" t="str">
        <x:v>Not a corporation and not proof of parcel ownership.</x:v>
      </x:c>
    </x:row>
    <x:row r="33" ht="58" customHeight="1">
      <x:c r="A33" s="303" t="str">
        <x:v>Trust 600 / R.H.R.E.I. Trust</x:v>
      </x:c>
      <x:c r="B33" s="312" t="n">
        <x:v>38602.5</x:v>
      </x:c>
      <x:c r="C33" s="303" t="str">
        <x:v>Schedule 13D/A</x:v>
      </x:c>
      <x:c r="D33" s="315" t="str">
        <x:v>SEC:901359:000090951805000716</x:v>
      </x:c>
      <x:c r="E33" s="303" t="str">
        <x:v>SEC EDGAR</x:v>
      </x:c>
      <x:c r="F33" s="303" t="str">
        <x:v>Ohio trusts with Financial Trust Company as trustee</x:v>
      </x:c>
      <x:c r="G33" s="303" t="str">
        <x:v>Jeffrey E. Epstein; Financial Trust Company, Inc.</x:v>
      </x:c>
      <x:c r="H33" s="303" t="str">
        <x:v>8000 Walton Pkwy</x:v>
      </x:c>
      <x:c r="I33" s="303" t="str">
        <x:v>primary_sec_filing_confirmed</x:v>
      </x:c>
      <x:c r="J33" s="303" t="str">
        <x:v>Epstein was sole stockholder/director/president of the corporate trustee</x:v>
      </x:c>
      <x:c r="K33" s="303" t="str">
        <x:v>Requires trust/UCC rather than ordinary officer-name registry search.</x:v>
      </x:c>
    </x:row>
    <x:row r="34" ht="58" customHeight="1">
      <x:c r="A34" s="303" t="str">
        <x:v>INN Investment Corp.</x:v>
      </x:c>
      <x:c r="B34" s="312" t="n">
        <x:v>33757.5</x:v>
      </x:c>
      <x:c r="C34" s="303" t="str">
        <x:v>domestic dissolution</x:v>
      </x:c>
      <x:c r="D34" s="315" t="str">
        <x:v>H363_1780</x:v>
      </x:c>
      <x:c r="E34" s="303" t="str">
        <x:v>Ohio Secretary of State</x:v>
      </x:c>
      <x:c r="F34" s="303" t="str">
        <x:v>Dissolution certificate and affidavits</x:v>
      </x:c>
      <x:c r="G34" s="303" t="str">
        <x:v>Leslie H. Wexner; Jeffrey E. Epstein; Robert S. Schwartz; Dorothy Snow</x:v>
      </x:c>
      <x:c r="H34" s="303" t="str">
        <x:v>41 S High St., Suites 3710 and 2300, Columbus, OH</x:v>
      </x:c>
      <x:c r="I34" s="303" t="str">
        <x:v>primary_image_confirmed</x:v>
      </x:c>
      <x:c r="J34" s="303" t="str">
        <x:v>Wexner was director; Epstein was president; Schwartz was assistant secretary; Snow was statutory agent; Epstein and Schwartz signed</x:v>
      </x:c>
      <x:c r="K34" s="303" t="str">
        <x:v>The unnamed sole shareholder is not identified. A no-personal-property statement is not a no-real-property statement.</x:v>
      </x:c>
    </x:row>
    <x:row r="35" ht="58" customHeight="1">
      <x:c r="A35" s="303" t="str">
        <x:v>Cherry Bottom Investors, Inc.</x:v>
      </x:c>
      <x:c r="B35" s="312" t="n">
        <x:v>33116.5</x:v>
      </x:c>
      <x:c r="C35" s="303" t="str">
        <x:v>domestic merger</x:v>
      </x:c>
      <x:c r="D35" s="315" t="str">
        <x:v>G946_1533</x:v>
      </x:c>
      <x:c r="E35" s="303" t="str">
        <x:v>Ohio Secretary of State</x:v>
      </x:c>
      <x:c r="F35" s="303" t="str">
        <x:v>Investors merged into Cherry Bottom Properties</x:v>
      </x:c>
      <x:c r="G35" s="303" t="str">
        <x:v>Jeffrey E. Epstein; Stephen P. Campbell; Dorothy Snow</x:v>
      </x:c>
      <x:c r="H35" s="303" t="str">
        <x:v>41 S High St., Suite 2300, Columbus, OH</x:v>
      </x:c>
      <x:c r="I35" s="303" t="str">
        <x:v>primary_image_confirmed</x:v>
      </x:c>
      <x:c r="J35" s="303" t="str">
        <x:v>Epstein was Investors president and Properties vice president; Properties survived</x:v>
      </x:c>
      <x:c r="K35" s="303" t="str">
        <x:v>The filing does not name either corporation's director or shareholder, and it does not name Wexner.</x:v>
      </x:c>
    </x:row>
    <x:row r="36" ht="58" customHeight="1">
      <x:c r="A36" s="303" t="str">
        <x:v>Cherry Bottom Investors, Inc.</x:v>
      </x:c>
      <x:c r="B36" s="312" t="n">
        <x:v>33116.5</x:v>
      </x:c>
      <x:c r="C36" s="303" t="str">
        <x:v>merged-out stub</x:v>
      </x:c>
      <x:c r="D36" s="315" t="str">
        <x:v>G946_1539</x:v>
      </x:c>
      <x:c r="E36" s="303" t="str">
        <x:v>Ohio Secretary of State</x:v>
      </x:c>
      <x:c r="F36" s="303" t="str">
        <x:v>Portal-side terminal artifact for Ohio 719718</x:v>
      </x:c>
      <x:c r="G36" s="303" t="str">
        <x:v>Cherry Bottom Investors, Inc.</x:v>
      </x:c>
      <x:c r="H36" s="303" t="str">
        <x:v>Roll G946, frames 1539-1541</x:v>
      </x:c>
      <x:c r="I36" s="303" t="str">
        <x:v>primary_image_confirmed</x:v>
      </x:c>
      <x:c r="J36" s="303" t="str">
        <x:v>The stub records MEX status but does not identify the surviving corporation</x:v>
      </x:c>
      <x:c r="K36" s="303" t="str">
        <x:v>Resolve the edge from the companion merger agreement, not from this stub alone.</x:v>
      </x:c>
    </x:row>
    <x:row r="37" ht="58" customHeight="1">
      <x:c r="A37" s="303" t="str">
        <x:v>Cherry Bottom Properties, Inc.</x:v>
      </x:c>
      <x:c r="B37" s="312" t="n">
        <x:v>33116.5</x:v>
      </x:c>
      <x:c r="C37" s="303" t="str">
        <x:v>domestic merger survivor</x:v>
      </x:c>
      <x:c r="D37" s="315" t="str">
        <x:v>G946_1531</x:v>
      </x:c>
      <x:c r="E37" s="303" t="str">
        <x:v>Ohio Secretary of State</x:v>
      </x:c>
      <x:c r="F37" s="303" t="str">
        <x:v>Survived merger of Cherry Bottom Investors</x:v>
      </x:c>
      <x:c r="G37" s="303" t="str">
        <x:v>Jeffrey E. Epstein; Stephen P. Campbell; Dorothy Snow</x:v>
      </x:c>
      <x:c r="H37" s="303" t="str">
        <x:v>41 S High St., Suite 2300, Columbus, OH</x:v>
      </x:c>
      <x:c r="I37" s="303" t="str">
        <x:v>primary_image_confirmed</x:v>
      </x:c>
      <x:c r="J37" s="303" t="str">
        <x:v>Agreement says all assets and property interests, including real estate title, vest in the survivor without further act or deed</x:v>
      </x:c>
      <x:c r="K37" s="303" t="str">
        <x:v>Automatic succession means a county recorder may not contain an ordinary predecessor-to-survivor deed.</x:v>
      </x:c>
    </x:row>
    <x:row r="38" ht="58" customHeight="1">
      <x:c r="A38" s="303" t="str">
        <x:v>Cherry Bottom Properties, Inc.</x:v>
      </x:c>
      <x:c r="B38" s="312" t="n">
        <x:v>36157.5</x:v>
      </x:c>
      <x:c r="C38" s="303" t="str">
        <x:v>domestic dissolution</x:v>
      </x:c>
      <x:c r="D38" s="315" t="str">
        <x:v>199836304760</x:v>
      </x:c>
      <x:c r="E38" s="303" t="str">
        <x:v>Ohio Secretary of State</x:v>
      </x:c>
      <x:c r="F38" s="303" t="str">
        <x:v>Later dissolution of the 1990 survivor</x:v>
      </x:c>
      <x:c r="G38" s="303" t="str">
        <x:v>Leslie H. Wexner; Darren K. Indyke; Peggy W. Ugland</x:v>
      </x:c>
      <x:c r="H38" s="303" t="str">
        <x:v>N.A. Property, 5906 E Dublin-Granville Rd.; J. Epstein &amp; Company, 457 Madison Ave.; return to 52 E Gay St.</x:v>
      </x:c>
      <x:c r="I38" s="303" t="str">
        <x:v>primary_image_confirmed</x:v>
      </x:c>
      <x:c r="J38" s="303" t="str">
        <x:v>Wexner was the sole listed director and president; Indyke was secretary and signer; Ugland was statutory agent</x:v>
      </x:c>
      <x:c r="K38" s="303" t="str">
        <x:v>All shareholders authorized dissolution but are unnamed. The internal processing row dated 1999-01-04 must not replace the 1998-12-28 filing date.</x:v>
      </x:c>
    </x:row>
    <x:row r="39" ht="58" customHeight="1">
      <x:c r="A39" s="303" t="str">
        <x:v>Architonics, Inc.</x:v>
      </x:c>
      <x:c r="B39" s="312" t="n">
        <x:v>32864.5</x:v>
      </x:c>
      <x:c r="C39" s="303" t="str">
        <x:v>23-corporation domestic merger</x:v>
      </x:c>
      <x:c r="D39" s="315" t="str">
        <x:v>G774_0107</x:v>
      </x:c>
      <x:c r="E39" s="303" t="str">
        <x:v>Ohio Secretary of State</x:v>
      </x:c>
      <x:c r="F39" s="303" t="str">
        <x:v>Architonics survived 23 named predecessor corporations</x:v>
      </x:c>
      <x:c r="G39" s="303" t="str">
        <x:v>Richard W. Rubenstein; Dorothy Snow</x:v>
      </x:c>
      <x:c r="H39" s="303" t="str">
        <x:v>41 S High St., Columbus, OH</x:v>
      </x:c>
      <x:c r="I39" s="303" t="str">
        <x:v>primary_image_confirmed</x:v>
      </x:c>
      <x:c r="J39" s="303" t="str">
        <x:v>The agreement names Architonics as survivor and transfers all predecessor assets, property interests, obligations, and real-estate title</x:v>
      </x:c>
      <x:c r="K39" s="303" t="str">
        <x:v>The cohort overlap does not prove Wexner or Epstein ownership.</x:v>
      </x:c>
    </x:row>
    <x:row r="40" ht="58" customHeight="1">
      <x:c r="A40" s="303" t="str">
        <x:v>West First Plaza, Inc.</x:v>
      </x:c>
      <x:c r="B40" s="312" t="n">
        <x:v>33074.5</x:v>
      </x:c>
      <x:c r="C40" s="303" t="str">
        <x:v>domestic articles</x:v>
      </x:c>
      <x:c r="D40" s="315" t="str">
        <x:v>G909_1798</x:v>
      </x:c>
      <x:c r="E40" s="303" t="str">
        <x:v>Ohio Secretary of State</x:v>
      </x:c>
      <x:c r="F40" s="303" t="str">
        <x:v>Incorporation and original statutory-agent appointment</x:v>
      </x:c>
      <x:c r="G40" s="303" t="str">
        <x:v>Richard W. Rubenstein; Dorothy Snow</x:v>
      </x:c>
      <x:c r="H40" s="303" t="str">
        <x:v>41 S High St., Columbus, OH</x:v>
      </x:c>
      <x:c r="I40" s="303" t="str">
        <x:v>primary_image_confirmed</x:v>
      </x:c>
      <x:c r="J40" s="303" t="str">
        <x:v>Rubenstein was incorporator and Snow accepted appointment as statutory agent</x:v>
      </x:c>
      <x:c r="K40" s="303" t="str">
        <x:v>The articles do not identify Epstein, Wexner, officers, directors, or shareholders.</x:v>
      </x:c>
    </x:row>
    <x:row r="41" ht="58" customHeight="1">
      <x:c r="A41" s="303" t="str">
        <x:v>West First Plaza, Inc.</x:v>
      </x:c>
      <x:c r="B41" s="312" t="n">
        <x:v>33960.5</x:v>
      </x:c>
      <x:c r="C41" s="303" t="str">
        <x:v>domestic dissolution</x:v>
      </x:c>
      <x:c r="D41" s="315" t="str">
        <x:v>H503_1258</x:v>
      </x:c>
      <x:c r="E41" s="303" t="str">
        <x:v>Ohio Secretary of State</x:v>
      </x:c>
      <x:c r="F41" s="303" t="str">
        <x:v>Dissolution certificate and affidavits</x:v>
      </x:c>
      <x:c r="G41" s="303" t="str">
        <x:v>Leslie H. Wexner; Jeffrey E. Epstein; George M. Pryor Jr.; Jeffrey J. Smith; Dorothy Snow</x:v>
      </x:c>
      <x:c r="H41" s="303" t="str">
        <x:v>41 S High St., Suites 3710 and 2300; New Albany Realty Corp., 5757 Johnstown Rd.</x:v>
      </x:c>
      <x:c r="I41" s="303" t="str">
        <x:v>primary_image_confirmed</x:v>
      </x:c>
      <x:c r="J41" s="303" t="str">
        <x:v>Wexner was director; Epstein president; Pryor vice president; Smith secretary; Snow statutory agent</x:v>
      </x:c>
      <x:c r="K41" s="303" t="str">
        <x:v>The unnamed sole shareholder is not identified. A no-personal-property statement is not a no-real-property statement.</x:v>
      </x:c>
    </x:row>
    <x:row r="42" ht="58" customHeight="1">
      <x:c r="A42" s="303" t="str">
        <x:v>LEWEX, Inc.</x:v>
      </x:c>
      <x:c r="B42" s="312" t="n">
        <x:v>33960.5</x:v>
      </x:c>
      <x:c r="C42" s="303" t="str">
        <x:v>domestic dissolution</x:v>
      </x:c>
      <x:c r="D42" s="315" t="str">
        <x:v>H503_1252</x:v>
      </x:c>
      <x:c r="E42" s="303" t="str">
        <x:v>Ohio Secretary of State</x:v>
      </x:c>
      <x:c r="F42" s="303" t="str">
        <x:v>Dissolution certificate and affidavits</x:v>
      </x:c>
      <x:c r="G42" s="303" t="str">
        <x:v>Leslie H. Wexner; Jeffrey E. Epstein; Jeffrey J. Smith; Dorothy Snow</x:v>
      </x:c>
      <x:c r="H42" s="303" t="str">
        <x:v>41 S High St., Suites 3710 and 2300, Columbus, OH</x:v>
      </x:c>
      <x:c r="I42" s="303" t="str">
        <x:v>primary_image_confirmed</x:v>
      </x:c>
      <x:c r="J42" s="303" t="str">
        <x:v>Wexner was director and president; Epstein vice president and treasurer; Smith secretary; Snow statutory agent</x:v>
      </x:c>
      <x:c r="K42" s="303" t="str">
        <x:v>This is Ohio charter 658220, not Parkview Financial/former LEWEX charter 623762. The unnamed sole shareholder is not identified.</x:v>
      </x:c>
    </x:row>
    <x:row r="43" ht="58" customHeight="1">
      <x:c r="A43" s="303" t="str">
        <x:v>Park Properties, Inc.</x:v>
      </x:c>
      <x:c r="B43" s="312" t="n">
        <x:v>33960.5</x:v>
      </x:c>
      <x:c r="C43" s="303" t="str">
        <x:v>domestic dissolution and subsequent-agent appointment</x:v>
      </x:c>
      <x:c r="D43" s="315" t="str">
        <x:v>H526_0788</x:v>
      </x:c>
      <x:c r="E43" s="303" t="str">
        <x:v>Ohio Secretary of State</x:v>
      </x:c>
      <x:c r="F43" s="303" t="str">
        <x:v>Dissolution certificate, affidavits, and Snow appointment acceptance</x:v>
      </x:c>
      <x:c r="G43" s="303" t="str">
        <x:v>Leslie H. Wexner; Jeffrey E. Epstein; Jeffrey J. Smith; Dorothy Snow</x:v>
      </x:c>
      <x:c r="H43" s="303" t="str">
        <x:v>41 S High St., Suites 3710 and 2300, Columbus, OH</x:v>
      </x:c>
      <x:c r="I43" s="303" t="str">
        <x:v>primary_image_confirmed</x:v>
      </x:c>
      <x:c r="J43" s="303" t="str">
        <x:v>Wexner was sole director and president; Epstein vice president; Smith secretary; Snow statutory agent</x:v>
      </x:c>
      <x:c r="K43" s="303" t="str">
        <x:v>The unnamed sole shareholder is not identified. A no-personal-property statement is not a no-real-property statement.</x:v>
      </x:c>
    </x:row>
    <x:row r="44" ht="58" customHeight="1">
      <x:c r="A44" s="303" t="str">
        <x:v>C-Wren Investment Corp.</x:v>
      </x:c>
      <x:c r="B44" s="312" t="n">
        <x:v>34333.5</x:v>
      </x:c>
      <x:c r="C44" s="303" t="str">
        <x:v>domestic dissolution</x:v>
      </x:c>
      <x:c r="D44" s="315" t="str">
        <x:v>9420_1032</x:v>
      </x:c>
      <x:c r="E44" s="303" t="str">
        <x:v>Ohio Secretary of State</x:v>
      </x:c>
      <x:c r="F44" s="303" t="str">
        <x:v>Dissolution certificate and affidavits</x:v>
      </x:c>
      <x:c r="G44" s="303" t="str">
        <x:v>Leslie H. Wexner; Jeffrey E. Epstein; Jeffrey J. Smith; Dorothy Snow</x:v>
      </x:c>
      <x:c r="H44" s="303" t="str">
        <x:v>41 S High St., Suites 3710 and 2300, Columbus, OH</x:v>
      </x:c>
      <x:c r="I44" s="303" t="str">
        <x:v>primary_image_confirmed</x:v>
      </x:c>
      <x:c r="J44" s="303" t="str">
        <x:v>Wexner was sole director and president; Epstein vice president and treasurer; Smith secretary; Snow statutory agent</x:v>
      </x:c>
      <x:c r="K44" s="303" t="str">
        <x:v>The unnamed sole shareholder is not identified. A no-personal-property statement is not a no-real-property statement.</x:v>
      </x:c>
    </x:row>
    <x:row r="45" ht="58" customHeight="1">
      <x:c r="A45" s="303" t="str">
        <x:v>PFI Leasing, Inc.</x:v>
      </x:c>
      <x:c r="B45" s="312" t="n">
        <x:v>33233.5</x:v>
      </x:c>
      <x:c r="C45" s="303" t="str">
        <x:v>domestic dissolution</x:v>
      </x:c>
      <x:c r="D45" s="315" t="str">
        <x:v>H043_1630</x:v>
      </x:c>
      <x:c r="E45" s="303" t="str">
        <x:v>Ohio Secretary of State</x:v>
      </x:c>
      <x:c r="F45" s="303" t="str">
        <x:v>Dissolution certificate and affidavits</x:v>
      </x:c>
      <x:c r="G45" s="303" t="str">
        <x:v>Leslie H. Wexner; Jeffrey E. Epstein; Jerry L. Merritt; Stephen P. Campbell; Lu Klaiber; Stanley Schwartz Jr.</x:v>
      </x:c>
      <x:c r="H45" s="303" t="str">
        <x:v>41 S High St., Suite 3710, Columbus, OH</x:v>
      </x:c>
      <x:c r="I45" s="303" t="str">
        <x:v>primary_image_confirmed</x:v>
      </x:c>
      <x:c r="J45" s="303" t="str">
        <x:v>Wexner was director and president; Epstein vice president and treasurer; Merritt and Campbell vice presidents; Klaiber secretary</x:v>
      </x:c>
      <x:c r="K45" s="303" t="str">
        <x:v>Outside the Snow export. The unnamed sole shareholder is not identified; no leased asset is identified.</x:v>
      </x:c>
    </x:row>
    <x:row r="46" ht="58" customHeight="1">
      <x:c r="A46" s="303" t="str">
        <x:v>Rocky Fork Development Corporation</x:v>
      </x:c>
      <x:c r="B46" s="312" t="n">
        <x:v>33967.5</x:v>
      </x:c>
      <x:c r="C46" s="303" t="str">
        <x:v>domestic dissolution</x:v>
      </x:c>
      <x:c r="D46" s="315" t="str">
        <x:v>H509_0296</x:v>
      </x:c>
      <x:c r="E46" s="303" t="str">
        <x:v>Ohio Secretary of State</x:v>
      </x:c>
      <x:c r="F46" s="303" t="str">
        <x:v>Dissolution certificate and affidavits</x:v>
      </x:c>
      <x:c r="G46" s="303" t="str">
        <x:v>Leslie H. Wexner; Jeffrey E. Epstein; Jeffrey J. Smith; Richard W. Rubenstein</x:v>
      </x:c>
      <x:c r="H46" s="303" t="str">
        <x:v>41 S High St., Suites 3710 and 2300, Columbus, OH</x:v>
      </x:c>
      <x:c r="I46" s="303" t="str">
        <x:v>primary_image_confirmed</x:v>
      </x:c>
      <x:c r="J46" s="303" t="str">
        <x:v>Wexner was sole director and president; Epstein vice president; Smith secretary; Rubenstein statutory agent</x:v>
      </x:c>
      <x:c r="K46" s="303" t="str">
        <x:v>Outside the Snow export but the confirmed 1987 survivor of Snow-cohort Bearce Hollow. The unnamed sole shareholder is not identified.</x:v>
      </x:c>
    </x:row>
    <x:row r="47" ht="58" customHeight="1">
      <x:c r="A47" s="303" t="str">
        <x:v>City Centre Investment Corp.</x:v>
      </x:c>
      <x:c r="B47" s="312" t="n">
        <x:v>34696.5</x:v>
      </x:c>
      <x:c r="C47" s="303" t="str">
        <x:v>domestic dissolution</x:v>
      </x:c>
      <x:c r="D47" s="315" t="str">
        <x:v>5024_1021</x:v>
      </x:c>
      <x:c r="E47" s="303" t="str">
        <x:v>Ohio Secretary of State</x:v>
      </x:c>
      <x:c r="F47" s="303" t="str">
        <x:v>Dissolution certificate submitted by Vorys, Sater, Seymour and Pease</x:v>
      </x:c>
      <x:c r="G47" s="303" t="str">
        <x:v>Leslie H. Wexner; Jeffrey Epstein; Peggy Ugland; Jeffrey J. Smith; Richard W. Rubenstein</x:v>
      </x:c>
      <x:c r="H47" s="303" t="str">
        <x:v>41 S High St., Suite 3710, Columbus, OH</x:v>
      </x:c>
      <x:c r="I47" s="303" t="str">
        <x:v>primary_image_confirmed</x:v>
      </x:c>
      <x:c r="J47" s="303" t="str">
        <x:v>Wexner was director; Epstein president; Ugland vice president; Smith secretary; Rubenstein statutory agent</x:v>
      </x:c>
      <x:c r="K47" s="303" t="str">
        <x:v>Portal and received stamp say December 28, while the signature page says December 29. Preserve both rather than silently harmonizing them.</x:v>
      </x:c>
    </x:row>
    <x:row r="48" ht="58" customHeight="1">
      <x:c r="A48" s="303" t="str">
        <x:v>Wexner Investment Company</x:v>
      </x:c>
      <x:c r="B48" s="312" t="n">
        <x:v>34697.5</x:v>
      </x:c>
      <x:c r="C48" s="303" t="str">
        <x:v>domestic dissolution</x:v>
      </x:c>
      <x:c r="D48" s="315" t="str">
        <x:v>5028_0684</x:v>
      </x:c>
      <x:c r="E48" s="303" t="str">
        <x:v>Ohio Secretary of State</x:v>
      </x:c>
      <x:c r="F48" s="303" t="str">
        <x:v>Terminal officer and director list submitted by Vorys, Sater, Seymour and Pease</x:v>
      </x:c>
      <x:c r="G48" s="303" t="str">
        <x:v>Leslie H. Wexner; Peggy Ugland; Jeffrey J. Smith; Robert S. Schwartz</x:v>
      </x:c>
      <x:c r="H48" s="303" t="str">
        <x:v>41 S High St., Suites 3710 and 2300, Columbus, OH</x:v>
      </x:c>
      <x:c r="I48" s="303" t="str">
        <x:v>primary_image_confirmed</x:v>
      </x:c>
      <x:c r="J48" s="303" t="str">
        <x:v>The reviewed dissolution lists Wexner as director, Ugland as vice president, Smith as secretary, and Schwartz as agent; it does not list Epstein</x:v>
      </x:c>
      <x:c r="K48" s="303" t="str">
        <x:v>This is a bounded terminal-filing negative, not proof that Epstein never held an earlier role. The cover letter appears to contain a copied City Centre name.</x:v>
      </x:c>
    </x:row>
    <x:row r="49" ht="58" customHeight="1">
      <x:c r="A49" s="303" t="str">
        <x:v>ESPER, INC.</x:v>
      </x:c>
      <x:c r="B49" s="312" t="n">
        <x:v>31687.5</x:v>
      </x:c>
      <x:c r="C49" s="303" t="str">
        <x:v>domestic articles</x:v>
      </x:c>
      <x:c r="D49" s="315" t="str">
        <x:v>G011_0438</x:v>
      </x:c>
      <x:c r="E49" s="303" t="str">
        <x:v>Ohio Secretary of State</x:v>
      </x:c>
      <x:c r="F49" s="303" t="str">
        <x:v>Formation and original statutory-agent appointment</x:v>
      </x:c>
      <x:c r="G49" s="303" t="str">
        <x:v>Richard W. Rubenstein; Dorothy Snow</x:v>
      </x:c>
      <x:c r="H49" s="303" t="str">
        <x:v>41 South High St., Suite 2300, Columbus, OH 43215</x:v>
      </x:c>
      <x:c r="I49" s="303" t="str">
        <x:v>primary_image_confirmed</x:v>
      </x:c>
      <x:c r="J49" s="303" t="str">
        <x:v>Rubenstein was incorporator and Snow accepted appointment as statutory agent</x:v>
      </x:c>
      <x:c r="K49" s="303" t="str">
        <x:v>The articles list no officers, directors, shareholders, parcels, Epstein, or Wexner.</x:v>
      </x:c>
    </x:row>
    <x:row r="50" ht="58" customHeight="1">
      <x:c r="A50" s="303" t="str">
        <x:v>ESPER, INC.</x:v>
      </x:c>
      <x:c r="B50" s="312" t="n">
        <x:v>32202.5</x:v>
      </x:c>
      <x:c r="C50" s="303" t="str">
        <x:v>domestic dissolution</x:v>
      </x:c>
      <x:c r="D50" s="315" t="str">
        <x:v>G343_1665</x:v>
      </x:c>
      <x:c r="E50" s="303" t="str">
        <x:v>Ohio Secretary of State</x:v>
      </x:c>
      <x:c r="F50" s="303" t="str">
        <x:v>Dissolution certificate and affidavits</x:v>
      </x:c>
      <x:c r="G50" s="303" t="str">
        <x:v>Harold L. Levin; Stephen P. Campbell; John W. Kessler; John B. McCoy; Dorothy Snow</x:v>
      </x:c>
      <x:c r="H50" s="303" t="str">
        <x:v>41 South High St., Suites 2300 3700 and 3710; 100 E Broad St.</x:v>
      </x:c>
      <x:c r="I50" s="303" t="str">
        <x:v>primary_image_confirmed</x:v>
      </x:c>
      <x:c r="J50" s="303" t="str">
        <x:v>Levin was director/president/treasurer; Campbell vice president/secretary; Kessler and McCoy directors</x:v>
      </x:c>
      <x:c r="K50" s="303" t="str">
        <x:v>The shareholder is unnamed; no survivor is identified; the no-personal-property affidavit does not address real estate. Two other history rows lack live images.</x:v>
      </x:c>
    </x:row>
    <x:row r="51" ht="58" customHeight="1">
      <x:c r="A51" s="303" t="str">
        <x:v>Community Projects, Inc.</x:v>
      </x:c>
      <x:c r="B51" s="312" t="n">
        <x:v>33463.5</x:v>
      </x:c>
      <x:c r="C51" s="303" t="str">
        <x:v>domestic articles</x:v>
      </x:c>
      <x:c r="D51" s="315" t="str">
        <x:v>H177_0680</x:v>
      </x:c>
      <x:c r="E51" s="303" t="str">
        <x:v>Ohio Secretary of State</x:v>
      </x:c>
      <x:c r="F51" s="303" t="str">
        <x:v>Formation and original statutory-agent appointment</x:v>
      </x:c>
      <x:c r="G51" s="303" t="str">
        <x:v>Ted B. Hipsher; Dorothy Snow</x:v>
      </x:c>
      <x:c r="H51" s="303" t="str">
        <x:v>41 South High St., Suite 2300, Columbus, OH 43215</x:v>
      </x:c>
      <x:c r="I51" s="303" t="str">
        <x:v>primary_image_confirmed</x:v>
      </x:c>
      <x:c r="J51" s="303" t="str">
        <x:v>Hipsher was incorporator and Snow was original statutory agent</x:v>
      </x:c>
      <x:c r="K51" s="303" t="str">
        <x:v>The articles identify no officers, directors, shareholders, parcels, Epstein, or Wexner.</x:v>
      </x:c>
    </x:row>
    <x:row r="52" ht="58" customHeight="1">
      <x:c r="A52" s="303" t="str">
        <x:v>Community Projects, Inc.</x:v>
      </x:c>
      <x:c r="B52" s="312" t="n">
        <x:v>36056.5</x:v>
      </x:c>
      <x:c r="C52" s="303" t="str">
        <x:v>New Albany partnership name consent and LLC registration context</x:v>
      </x:c>
      <x:c r="D52" s="315" t="str">
        <x:v>199826701876</x:v>
      </x:c>
      <x:c r="E52" s="303" t="str">
        <x:v>Ohio Secretary of State</x:v>
      </x:c>
      <x:c r="F52" s="303" t="str">
        <x:v>Community Projects and N.A. Property acted as New Albany LP general partners</x:v>
      </x:c>
      <x:c r="G52" s="303" t="str">
        <x:v>Leslie H. Wexner; Jeffrey Epstein</x:v>
      </x:c>
      <x:c r="H52" s="303" t="str">
        <x:v>5906 E Dublin-Granville Rd., New Albany, OH 43054</x:v>
      </x:c>
      <x:c r="I52" s="303" t="str">
        <x:v>primary_image_confirmed</x:v>
      </x:c>
      <x:c r="J52" s="303" t="str">
        <x:v>Wexner signed as Community Projects president and Epstein as N.A. Property president</x:v>
      </x:c>
      <x:c r="K52" s="303" t="str">
        <x:v>The page omits Community Projects' charter number; the join to Ohio 801367 is high-confidence synthesis, not a printed-charter fact.</x:v>
      </x:c>
    </x:row>
    <x:row r="53" ht="58" customHeight="1">
      <x:c r="A53" s="303" t="str">
        <x:v>Community Projects, Inc.</x:v>
      </x:c>
      <x:c r="B53" s="312" t="n">
        <x:v>36111.5</x:v>
      </x:c>
      <x:c r="C53" s="303" t="str">
        <x:v>domestic dissolution</x:v>
      </x:c>
      <x:c r="D53" s="315" t="str">
        <x:v>199831701001</x:v>
      </x:c>
      <x:c r="E53" s="303" t="str">
        <x:v>Ohio Secretary of State</x:v>
      </x:c>
      <x:c r="F53" s="303" t="str">
        <x:v>Dissolution certificate and affidavits</x:v>
      </x:c>
      <x:c r="G53" s="303" t="str">
        <x:v>Leslie H. Wexner; Darren K. Indyke</x:v>
      </x:c>
      <x:c r="H53" s="303" t="str">
        <x:v>One Whitebarn Rd.; 5906 E Dublin-Granville Rd., New Albany, OH</x:v>
      </x:c>
      <x:c r="I53" s="303" t="str">
        <x:v>primary_image_confirmed</x:v>
      </x:c>
      <x:c r="J53" s="303" t="str">
        <x:v>Wexner was sole listed director and president; Indyke was secretary</x:v>
      </x:c>
      <x:c r="K53" s="303" t="str">
        <x:v>Shareholders are unnamed; Epstein is not listed; no asset recipient is identified; no-personal-property language does not address real estate.</x:v>
      </x:c>
    </x:row>
    <x:row r="54" ht="58" customHeight="1">
      <x:c r="A54" s="303" t="str">
        <x:v>Morsham Land Corp.</x:v>
      </x:c>
      <x:c r="B54" s="312" t="n">
        <x:v>32125.5</x:v>
      </x:c>
      <x:c r="C54" s="303" t="str">
        <x:v>domestic articles</x:v>
      </x:c>
      <x:c r="D54" s="315" t="str">
        <x:v>G290_1448</x:v>
      </x:c>
      <x:c r="E54" s="303" t="str">
        <x:v>Ohio Secretary of State</x:v>
      </x:c>
      <x:c r="F54" s="303" t="str">
        <x:v>Formation and original statutory-agent appointment</x:v>
      </x:c>
      <x:c r="G54" s="303" t="str">
        <x:v>Dorothy Snow</x:v>
      </x:c>
      <x:c r="H54" s="303" t="str">
        <x:v>41 South High St., Suite 2300, Columbus, OH 43215</x:v>
      </x:c>
      <x:c r="I54" s="303" t="str">
        <x:v>primary_image_confirmed</x:v>
      </x:c>
      <x:c r="J54" s="303" t="str">
        <x:v>Snow was incorporator and original statutory agent</x:v>
      </x:c>
      <x:c r="K54" s="303" t="str">
        <x:v>The articles identify no officers, directors, shareholders, parcel, Epstein, Wexner, or New Albany Company.</x:v>
      </x:c>
    </x:row>
    <x:row r="55" ht="58" customHeight="1">
      <x:c r="A55" s="303" t="str">
        <x:v>Northeast Franklin Company, Inc.</x:v>
      </x:c>
      <x:c r="B55" s="312" t="n">
        <x:v>32058.5</x:v>
      </x:c>
      <x:c r="C55" s="303" t="str">
        <x:v>domestic articles</x:v>
      </x:c>
      <x:c r="D55" s="315" t="str">
        <x:v>G255_1344</x:v>
      </x:c>
      <x:c r="E55" s="303" t="str">
        <x:v>Ohio Secretary of State</x:v>
      </x:c>
      <x:c r="F55" s="303" t="str">
        <x:v>Formation and original statutory-agent appointment</x:v>
      </x:c>
      <x:c r="G55" s="303" t="str">
        <x:v>Robert N. Wistner</x:v>
      </x:c>
      <x:c r="H55" s="303" t="str">
        <x:v>475 Metro Place North, Suite 200, Dublin, OH 43017</x:v>
      </x:c>
      <x:c r="I55" s="303" t="str">
        <x:v>primary_image_confirmed</x:v>
      </x:c>
      <x:c r="J55" s="303" t="str">
        <x:v>Wistner was incorporator and original statutory agent</x:v>
      </x:c>
      <x:c r="K55" s="303" t="str">
        <x:v>Snow does not appear in this packet; it identifies no officers, directors, shareholders, parcels, Epstein, or Wexner.</x:v>
      </x:c>
    </x:row>
    <x:row r="56" ht="58" customHeight="1">
      <x:c r="A56" s="303" t="str">
        <x:v>Northeast Franklin Company, Inc.</x:v>
      </x:c>
      <x:c r="B56" s="312" t="n">
        <x:v>32505.5</x:v>
      </x:c>
      <x:c r="C56" s="303" t="str">
        <x:v>domestic dissolution</x:v>
      </x:c>
      <x:c r="D56" s="315" t="str">
        <x:v>G532_1162;OH-SOS:728764:G532_0974</x:v>
      </x:c>
      <x:c r="E56" s="303" t="str">
        <x:v>Ohio Secretary of State</x:v>
      </x:c>
      <x:c r="F56" s="303" t="str">
        <x:v>Dissolution certificate and affidavits</x:v>
      </x:c>
      <x:c r="G56" s="303" t="str">
        <x:v>Stanley Schwartz Jr.; Richard W. Rubenstein; Dorothy Snow</x:v>
      </x:c>
      <x:c r="H56" s="303" t="str">
        <x:v>41 South High St., 23rd Floor, Columbus, OH 43215</x:v>
      </x:c>
      <x:c r="I56" s="303" t="str">
        <x:v>primary_image_confirmed</x:v>
      </x:c>
      <x:c r="J56" s="303" t="str">
        <x:v>Schwartz was chairman/president/director; Rubenstein vice president/treasurer/director; Snow secretary/director</x:v>
      </x:c>
      <x:c r="K56" s="303" t="str">
        <x:v>The sole shareholder is unnamed. The linked agent row has no visible separate appointment form; no-personal-property language does not address real estate. Argotron G532_0974 p.7 establishes inclusion in a 46-company administrative dissolution batch; it does not establish common ownership, common control, a shared property portfolio, or beneficial ownership.</x:v>
      </x:c>
    </x:row>
    <x:row r="57" ht="58" customHeight="1">
      <x:c r="A57" s="303" t="str">
        <x:v>New Albany Properties, Inc.</x:v>
      </x:c>
      <x:c r="B57" s="312" t="n">
        <x:v>32066.5</x:v>
      </x:c>
      <x:c r="C57" s="303" t="str">
        <x:v>domestic articles</x:v>
      </x:c>
      <x:c r="D57" s="315" t="str">
        <x:v>G257_1502</x:v>
      </x:c>
      <x:c r="E57" s="303" t="str">
        <x:v>Ohio Secretary of State</x:v>
      </x:c>
      <x:c r="F57" s="303" t="str">
        <x:v>Formation and original statutory-agent appointment</x:v>
      </x:c>
      <x:c r="G57" s="303" t="str">
        <x:v>Robert N. Wistner</x:v>
      </x:c>
      <x:c r="H57" s="303" t="str">
        <x:v>475 Metro Place North, Suite 200, Dublin, OH 43017</x:v>
      </x:c>
      <x:c r="I57" s="303" t="str">
        <x:v>primary_image_confirmed</x:v>
      </x:c>
      <x:c r="J57" s="303" t="str">
        <x:v>Wistner was incorporator and original statutory agent</x:v>
      </x:c>
      <x:c r="K57" s="303" t="str">
        <x:v>This charter is not N.A. Property, Inc. Ohio 832364; no officers, directors, shareholders, parcels, Epstein, or Wexner appear.</x:v>
      </x:c>
    </x:row>
    <x:row r="58" ht="58" customHeight="1">
      <x:c r="A58" s="303" t="str">
        <x:v>New Albany Properties, Inc.</x:v>
      </x:c>
      <x:c r="B58" s="312" t="n">
        <x:v>32505.5</x:v>
      </x:c>
      <x:c r="C58" s="303" t="str">
        <x:v>domestic dissolution</x:v>
      </x:c>
      <x:c r="D58" s="315" t="str">
        <x:v>G532_1150;OH-SOS:728764:G532_0974</x:v>
      </x:c>
      <x:c r="E58" s="303" t="str">
        <x:v>Ohio Secretary of State</x:v>
      </x:c>
      <x:c r="F58" s="303" t="str">
        <x:v>Dissolution certificate and affidavits</x:v>
      </x:c>
      <x:c r="G58" s="303" t="str">
        <x:v>Stanley Schwartz Jr.; Kenneth S. Warren; Richard W. Rubenstein; Dorothy Snow</x:v>
      </x:c>
      <x:c r="H58" s="303" t="str">
        <x:v>41 South High St., 23rd Floor, Columbus, OH 43215</x:v>
      </x:c>
      <x:c r="I58" s="303" t="str">
        <x:v>primary_image_confirmed</x:v>
      </x:c>
      <x:c r="J58" s="303" t="str">
        <x:v>Law-firm personnel served as officers/directors; Snow was secretary</x:v>
      </x:c>
      <x:c r="K58" s="303" t="str">
        <x:v>The sole shareholder is unnamed. 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59" ht="58" customHeight="1">
      <x:c r="A59" s="303" t="str">
        <x:v>New Albany Cardinal Associates, Inc.</x:v>
      </x:c>
      <x:c r="B59" s="312" t="n">
        <x:v>32643.5</x:v>
      </x:c>
      <x:c r="C59" s="303" t="str">
        <x:v>domestic articles</x:v>
      </x:c>
      <x:c r="D59" s="315" t="str">
        <x:v>G621_0906</x:v>
      </x:c>
      <x:c r="E59" s="303" t="str">
        <x:v>Ohio Secretary of State</x:v>
      </x:c>
      <x:c r="F59" s="303" t="str">
        <x:v>Formation and original statutory-agent appointment</x:v>
      </x:c>
      <x:c r="G59" s="303" t="str">
        <x:v>Ted B. Hipsher; Dorothy Snow</x:v>
      </x:c>
      <x:c r="H59" s="303" t="str">
        <x:v>41 South High St., Columbus, OH 43215</x:v>
      </x:c>
      <x:c r="I59" s="303" t="str">
        <x:v>primary_image_confirmed</x:v>
      </x:c>
      <x:c r="J59" s="303" t="str">
        <x:v>Hipsher was incorporator and Snow was original statutory agent</x:v>
      </x:c>
      <x:c r="K59" s="303" t="str">
        <x:v>The articles identify no officers, directors, shareholders, parcels, Epstein, or Wexner.</x:v>
      </x:c>
    </x:row>
    <x:row r="60" ht="58" customHeight="1">
      <x:c r="A60" s="303" t="str">
        <x:v>New Albany Cardinal Associates, Inc.</x:v>
      </x:c>
      <x:c r="B60" s="312" t="n">
        <x:v>35062.5</x:v>
      </x:c>
      <x:c r="C60" s="303" t="str">
        <x:v>merged-out status packet</x:v>
      </x:c>
      <x:c r="D60" s="315" t="str">
        <x:v>5422_1201</x:v>
      </x:c>
      <x:c r="E60" s="303" t="str">
        <x:v>Ohio Secretary of State</x:v>
      </x:c>
      <x:c r="F60" s="303" t="str">
        <x:v>MEX certificate and later processing statement</x:v>
      </x:c>
      <x:c r="G60" s="303" t="str">
        <x:v>New Albany Company; W. W. Vaughn III</x:v>
      </x:c>
      <x:c r="H60" s="303" t="str">
        <x:v>5906 E Dublin-Granville Rd., New Albany, OH 43054</x:v>
      </x:c>
      <x:c r="I60" s="303" t="str">
        <x:v>primary_image_confirmed</x:v>
      </x:c>
      <x:c r="J60" s="303" t="str">
        <x:v>Packet confirms merged-out status and routes the status document to New Albany Company</x:v>
      </x:c>
      <x:c r="K60" s="303" t="str">
        <x:v>The packet names no survivor or other constituent; same-date routing with Morsham supports a batch lead only.</x:v>
      </x:c>
    </x:row>
    <x:row r="61" ht="58" customHeight="1">
      <x:c r="A61" s="303" t="str">
        <x:v>Plain Designs, Incorporated</x:v>
      </x:c>
      <x:c r="B61" s="312" t="n">
        <x:v>32121.5</x:v>
      </x:c>
      <x:c r="C61" s="303" t="str">
        <x:v>domestic articles</x:v>
      </x:c>
      <x:c r="D61" s="315" t="str">
        <x:v>G287_0729</x:v>
      </x:c>
      <x:c r="E61" s="303" t="str">
        <x:v>Ohio Secretary of State</x:v>
      </x:c>
      <x:c r="F61" s="303" t="str">
        <x:v>Formation and original statutory-agent appointment</x:v>
      </x:c>
      <x:c r="G61" s="303" t="str">
        <x:v>Dorothy Snow</x:v>
      </x:c>
      <x:c r="H61" s="303" t="str">
        <x:v>41 South High St., Suite 2300, Columbus, OH 43215</x:v>
      </x:c>
      <x:c r="I61" s="303" t="str">
        <x:v>primary_image_confirmed</x:v>
      </x:c>
      <x:c r="J61" s="303" t="str">
        <x:v>Snow was incorporator and original statutory agent</x:v>
      </x:c>
      <x:c r="K61" s="303" t="str">
        <x:v>General-purpose articles identify no officers, directors, shareholders, parcel, Epstein, or Wexner.</x:v>
      </x:c>
    </x:row>
    <x:row r="62" ht="58" customHeight="1">
      <x:c r="A62" s="303" t="str">
        <x:v>Plain Designs, Incorporated</x:v>
      </x:c>
      <x:c r="B62" s="312" t="n">
        <x:v>32505.5</x:v>
      </x:c>
      <x:c r="C62" s="303" t="str">
        <x:v>domestic dissolution</x:v>
      </x:c>
      <x:c r="D62" s="315" t="str">
        <x:v>G532_1174;OH-SOS:728764:G532_0974</x:v>
      </x:c>
      <x:c r="E62" s="303" t="str">
        <x:v>Ohio Secretary of State</x:v>
      </x:c>
      <x:c r="F62" s="303" t="str">
        <x:v>Dissolution certificate and affidavits</x:v>
      </x:c>
      <x:c r="G62" s="303" t="str">
        <x:v>Stanley Schwartz Jr.; Richard W. Rubenstein; Dorothy Snow</x:v>
      </x:c>
      <x:c r="H62" s="303" t="str">
        <x:v>41 South High St., 23rd Floor, Columbus, OH 43215</x:v>
      </x:c>
      <x:c r="I62" s="303" t="str">
        <x:v>primary_image_confirmed</x:v>
      </x:c>
      <x:c r="J62" s="303" t="str">
        <x:v>Common law-firm officer pattern; unnamed sole shareholder</x:v>
      </x:c>
      <x:c r="K62" s="303"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63" ht="58" customHeight="1">
      <x:c r="A63" s="303" t="str">
        <x:v>Hareck Enterprises, Inc.</x:v>
      </x:c>
      <x:c r="B63" s="312" t="n">
        <x:v>32121.5</x:v>
      </x:c>
      <x:c r="C63" s="303" t="str">
        <x:v>domestic articles</x:v>
      </x:c>
      <x:c r="D63" s="315" t="str">
        <x:v>G287_0735</x:v>
      </x:c>
      <x:c r="E63" s="303" t="str">
        <x:v>Ohio Secretary of State</x:v>
      </x:c>
      <x:c r="F63" s="303" t="str">
        <x:v>Formation and original statutory-agent appointment</x:v>
      </x:c>
      <x:c r="G63" s="303" t="str">
        <x:v>Dorothy Snow</x:v>
      </x:c>
      <x:c r="H63" s="303" t="str">
        <x:v>41 South High St., Suite 2300, Columbus, OH 43215</x:v>
      </x:c>
      <x:c r="I63" s="303" t="str">
        <x:v>primary_image_confirmed</x:v>
      </x:c>
      <x:c r="J63" s="303" t="str">
        <x:v>Snow was incorporator and original statutory agent</x:v>
      </x:c>
      <x:c r="K63" s="303" t="str">
        <x:v>General-purpose articles identify no officers, directors, shareholders, parcel, Epstein, or Wexner.</x:v>
      </x:c>
    </x:row>
    <x:row r="64" ht="58" customHeight="1">
      <x:c r="A64" s="303" t="str">
        <x:v>Hareck Enterprises, Inc.</x:v>
      </x:c>
      <x:c r="B64" s="312" t="n">
        <x:v>32505.5</x:v>
      </x:c>
      <x:c r="C64" s="303" t="str">
        <x:v>domestic dissolution</x:v>
      </x:c>
      <x:c r="D64" s="315" t="str">
        <x:v>G532_1090;OH-SOS:728764:G532_0974</x:v>
      </x:c>
      <x:c r="E64" s="303" t="str">
        <x:v>Ohio Secretary of State</x:v>
      </x:c>
      <x:c r="F64" s="303" t="str">
        <x:v>Dissolution certificate and affidavits</x:v>
      </x:c>
      <x:c r="G64" s="303" t="str">
        <x:v>Stanley Schwartz Jr.; Richard W. Rubenstein; Dorothy Snow</x:v>
      </x:c>
      <x:c r="H64" s="303" t="str">
        <x:v>41 South High St., 23rd Floor, Columbus, OH 43215</x:v>
      </x:c>
      <x:c r="I64" s="303" t="str">
        <x:v>primary_image_confirmed</x:v>
      </x:c>
      <x:c r="J64" s="303" t="str">
        <x:v>Common law-firm officer pattern; unnamed sole shareholder</x:v>
      </x:c>
      <x:c r="K64" s="303"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65" ht="58" customHeight="1">
      <x:c r="A65" s="303" t="str">
        <x:v>Maplegrove Properties, Inc.</x:v>
      </x:c>
      <x:c r="B65" s="312" t="n">
        <x:v>32121.5</x:v>
      </x:c>
      <x:c r="C65" s="303" t="str">
        <x:v>domestic articles</x:v>
      </x:c>
      <x:c r="D65" s="315" t="str">
        <x:v>G287_0741</x:v>
      </x:c>
      <x:c r="E65" s="303" t="str">
        <x:v>Ohio Secretary of State</x:v>
      </x:c>
      <x:c r="F65" s="303" t="str">
        <x:v>Formation and original statutory-agent appointment</x:v>
      </x:c>
      <x:c r="G65" s="303" t="str">
        <x:v>Dorothy Snow</x:v>
      </x:c>
      <x:c r="H65" s="303" t="str">
        <x:v>41 South High St., Suite 2300, Columbus, OH 43215</x:v>
      </x:c>
      <x:c r="I65" s="303" t="str">
        <x:v>primary_image_confirmed</x:v>
      </x:c>
      <x:c r="J65" s="303" t="str">
        <x:v>Snow was incorporator and original statutory agent</x:v>
      </x:c>
      <x:c r="K65" s="303" t="str">
        <x:v>General-purpose articles identify no officers, directors, shareholders, parcel, Epstein, or Wexner.</x:v>
      </x:c>
    </x:row>
    <x:row r="66" ht="58" customHeight="1">
      <x:c r="A66" s="303" t="str">
        <x:v>Maplegrove Properties, Inc.</x:v>
      </x:c>
      <x:c r="B66" s="312" t="n">
        <x:v>32505.5</x:v>
      </x:c>
      <x:c r="C66" s="303" t="str">
        <x:v>domestic dissolution</x:v>
      </x:c>
      <x:c r="D66" s="315" t="str">
        <x:v>G532_1132;OH-SOS:728764:G532_0974</x:v>
      </x:c>
      <x:c r="E66" s="303" t="str">
        <x:v>Ohio Secretary of State</x:v>
      </x:c>
      <x:c r="F66" s="303" t="str">
        <x:v>Dissolution certificate and affidavits</x:v>
      </x:c>
      <x:c r="G66" s="303" t="str">
        <x:v>Stanley Schwartz Jr.; Richard W. Rubenstein; Dorothy Snow</x:v>
      </x:c>
      <x:c r="H66" s="303" t="str">
        <x:v>41 South High St., 23rd Floor, Columbus, OH 43215</x:v>
      </x:c>
      <x:c r="I66" s="303" t="str">
        <x:v>primary_image_confirmed</x:v>
      </x:c>
      <x:c r="J66" s="303" t="str">
        <x:v>Common law-firm officer pattern; unnamed sole shareholder</x:v>
      </x:c>
      <x:c r="K66" s="303"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67" ht="58" customHeight="1">
      <x:c r="A67" s="303" t="str">
        <x:v>Redwood Stables, Inc.</x:v>
      </x:c>
      <x:c r="B67" s="312" t="n">
        <x:v>32121.5</x:v>
      </x:c>
      <x:c r="C67" s="303" t="str">
        <x:v>domestic articles</x:v>
      </x:c>
      <x:c r="D67" s="315" t="str">
        <x:v>G287_0747</x:v>
      </x:c>
      <x:c r="E67" s="303" t="str">
        <x:v>Ohio Secretary of State</x:v>
      </x:c>
      <x:c r="F67" s="303" t="str">
        <x:v>Formation and original statutory-agent appointment</x:v>
      </x:c>
      <x:c r="G67" s="303" t="str">
        <x:v>Dorothy Snow</x:v>
      </x:c>
      <x:c r="H67" s="303" t="str">
        <x:v>41 South High St., Suite 2300, Columbus, OH 43215</x:v>
      </x:c>
      <x:c r="I67" s="303" t="str">
        <x:v>primary_image_confirmed</x:v>
      </x:c>
      <x:c r="J67" s="303" t="str">
        <x:v>Snow was incorporator and original statutory agent</x:v>
      </x:c>
      <x:c r="K67" s="303" t="str">
        <x:v>General-purpose articles identify no officers, directors, shareholders, parcel, Epstein, or Wexner.</x:v>
      </x:c>
    </x:row>
    <x:row r="68" ht="58" customHeight="1">
      <x:c r="A68" s="303" t="str">
        <x:v>Redwood Stables, Inc.</x:v>
      </x:c>
      <x:c r="B68" s="312" t="n">
        <x:v>32505.5</x:v>
      </x:c>
      <x:c r="C68" s="303" t="str">
        <x:v>domestic dissolution</x:v>
      </x:c>
      <x:c r="D68" s="315" t="str">
        <x:v>G532_1192;OH-SOS:728764:G532_0974</x:v>
      </x:c>
      <x:c r="E68" s="303" t="str">
        <x:v>Ohio Secretary of State</x:v>
      </x:c>
      <x:c r="F68" s="303" t="str">
        <x:v>Dissolution certificate and affidavits</x:v>
      </x:c>
      <x:c r="G68" s="303" t="str">
        <x:v>Stanley Schwartz Jr.; Richard W. Rubenstein; Dorothy Snow</x:v>
      </x:c>
      <x:c r="H68" s="303" t="str">
        <x:v>41 South High St., 23rd Floor, Columbus, OH 43215</x:v>
      </x:c>
      <x:c r="I68" s="303" t="str">
        <x:v>primary_image_confirmed</x:v>
      </x:c>
      <x:c r="J68" s="303" t="str">
        <x:v>Common law-firm officer pattern; unnamed sole shareholder</x:v>
      </x:c>
      <x:c r="K68" s="303"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69" ht="58" customHeight="1">
      <x:c r="A69" s="303" t="str">
        <x:v>Autumn Acres, Inc.</x:v>
      </x:c>
      <x:c r="B69" s="312" t="n">
        <x:v>32125.5</x:v>
      </x:c>
      <x:c r="C69" s="303" t="str">
        <x:v>domestic articles</x:v>
      </x:c>
      <x:c r="D69" s="315" t="str">
        <x:v>G290_1405</x:v>
      </x:c>
      <x:c r="E69" s="303" t="str">
        <x:v>Ohio Secretary of State</x:v>
      </x:c>
      <x:c r="F69" s="303" t="str">
        <x:v>Formation and original statutory-agent appointment</x:v>
      </x:c>
      <x:c r="G69" s="303" t="str">
        <x:v>Dorothy Snow</x:v>
      </x:c>
      <x:c r="H69" s="303" t="str">
        <x:v>41 South High St., Suite 2300, Columbus, OH 43215</x:v>
      </x:c>
      <x:c r="I69" s="303" t="str">
        <x:v>primary_image_confirmed</x:v>
      </x:c>
      <x:c r="J69" s="303" t="str">
        <x:v>Snow was incorporator and original statutory agent</x:v>
      </x:c>
      <x:c r="K69" s="303" t="str">
        <x:v>General-purpose articles identify no officer, director, shareholder, parcel, Epstein, or Wexner.</x:v>
      </x:c>
    </x:row>
    <x:row r="70" ht="58" customHeight="1">
      <x:c r="A70" s="303" t="str">
        <x:v>Autumn Acres, Inc.</x:v>
      </x:c>
      <x:c r="B70" s="312" t="n">
        <x:v>33235.5</x:v>
      </x:c>
      <x:c r="C70" s="303" t="str">
        <x:v>domestic merger</x:v>
      </x:c>
      <x:c r="D70" s="315" t="str">
        <x:v>H052_1482</x:v>
      </x:c>
      <x:c r="E70" s="303" t="str">
        <x:v>Ohio Secretary of State</x:v>
      </x:c>
      <x:c r="F70" s="303" t="str">
        <x:v>Survivor of seven merged Ohio corporations</x:v>
      </x:c>
      <x:c r="G70" s="303" t="str">
        <x:v>Richard W. Rubenstein; Dorothy Snow</x:v>
      </x:c>
      <x:c r="H70" s="303" t="str">
        <x:v>41 South High St., Columbus, OH 43215</x:v>
      </x:c>
      <x:c r="I70" s="303" t="str">
        <x:v>primary_image_confirmed</x:v>
      </x:c>
      <x:c r="J70" s="303" t="str">
        <x:v>Agreement expressly names Autumn Acres as survivor and transfers all predecessor assets, property, real-estate interests, and liabilities</x:v>
      </x:c>
      <x:c r="K70" s="303" t="str">
        <x:v>No specific parcel or shareholder is named. Autumn's next-day dissolution image G052_1517 is unavailable.</x:v>
      </x:c>
    </x:row>
    <x:row r="71" ht="58" customHeight="1">
      <x:c r="A71" s="303" t="str">
        <x:v>Blackford Investments, Inc.</x:v>
      </x:c>
      <x:c r="B71" s="312" t="n">
        <x:v>32125.5</x:v>
      </x:c>
      <x:c r="C71" s="303" t="str">
        <x:v>domestic articles</x:v>
      </x:c>
      <x:c r="D71" s="315" t="str">
        <x:v>G290_1412</x:v>
      </x:c>
      <x:c r="E71" s="303" t="str">
        <x:v>Ohio Secretary of State</x:v>
      </x:c>
      <x:c r="F71" s="303" t="str">
        <x:v>Formation and original statutory-agent appointment</x:v>
      </x:c>
      <x:c r="G71" s="303" t="str">
        <x:v>Dorothy Snow</x:v>
      </x:c>
      <x:c r="H71" s="303" t="str">
        <x:v>41 South High St., Suite 2300, Columbus, OH 43215</x:v>
      </x:c>
      <x:c r="I71" s="303" t="str">
        <x:v>primary_image_confirmed</x:v>
      </x:c>
      <x:c r="J71" s="303" t="str">
        <x:v>Snow was incorporator and original statutory agent</x:v>
      </x:c>
      <x:c r="K71" s="303" t="str">
        <x:v>The articles identify no officer, director, shareholder, parcel, Epstein, or Wexner.</x:v>
      </x:c>
    </x:row>
    <x:row r="72" ht="58" customHeight="1">
      <x:c r="A72" s="303" t="str">
        <x:v>Blackford Investments, Inc.</x:v>
      </x:c>
      <x:c r="B72" s="312" t="n">
        <x:v>32505.5</x:v>
      </x:c>
      <x:c r="C72" s="303" t="str">
        <x:v>domestic dissolution</x:v>
      </x:c>
      <x:c r="D72" s="315" t="str">
        <x:v>G532_0982;OH-SOS:728764:G532_0974</x:v>
      </x:c>
      <x:c r="E72" s="303" t="str">
        <x:v>Ohio Secretary of State</x:v>
      </x:c>
      <x:c r="F72" s="303" t="str">
        <x:v>Dissolution certificate and affidavits</x:v>
      </x:c>
      <x:c r="G72" s="303" t="str">
        <x:v>Stanley Schwartz Jr.; Kenneth J. Farley; Richard W. Rubenstein; Dorothy Snow</x:v>
      </x:c>
      <x:c r="H72" s="303" t="str">
        <x:v>41 South High St., 23rd Floor, Columbus, OH 43215</x:v>
      </x:c>
      <x:c r="I72" s="303" t="str">
        <x:v>primary_image_confirmed</x:v>
      </x:c>
      <x:c r="J72" s="303" t="str">
        <x:v>Schwartz was chairman/president; Rubenstein vice president/treasurer; Snow secretary; Farley a director</x:v>
      </x:c>
      <x:c r="K72" s="303" t="str">
        <x:v>The sole shareholder is unnamed; no-personal-property language does not address real estate. Argotron G532_0974 p.7 establishes inclusion in a 46-company administrative dissolution batch; it does not establish common ownership, common control, a shared property portfolio, or beneficial ownership.</x:v>
      </x:c>
    </x:row>
    <x:row r="73" ht="58" customHeight="1">
      <x:c r="A73" s="303" t="str">
        <x:v>Blendon Farms, Inc.</x:v>
      </x:c>
      <x:c r="B73" s="312" t="n">
        <x:v>32125.5</x:v>
      </x:c>
      <x:c r="C73" s="303" t="str">
        <x:v>domestic articles</x:v>
      </x:c>
      <x:c r="D73" s="315" t="str">
        <x:v>G290_1424</x:v>
      </x:c>
      <x:c r="E73" s="303" t="str">
        <x:v>Ohio Secretary of State</x:v>
      </x:c>
      <x:c r="F73" s="303" t="str">
        <x:v>Formation and original statutory-agent appointment</x:v>
      </x:c>
      <x:c r="G73" s="303" t="str">
        <x:v>Dorothy Snow</x:v>
      </x:c>
      <x:c r="H73" s="303" t="str">
        <x:v>41 South High St., Suite 2300, Columbus, OH 43215</x:v>
      </x:c>
      <x:c r="I73" s="303" t="str">
        <x:v>primary_image_confirmed</x:v>
      </x:c>
      <x:c r="J73" s="303" t="str">
        <x:v>Snow was incorporator and original statutory agent</x:v>
      </x:c>
      <x:c r="K73" s="303" t="str">
        <x:v>The articles identify no officer, director, shareholder, parcel, Epstein, or Wexner.</x:v>
      </x:c>
    </x:row>
    <x:row r="74" ht="58" customHeight="1">
      <x:c r="A74" s="303" t="str">
        <x:v>Blendon Farms, Inc.</x:v>
      </x:c>
      <x:c r="B74" s="312" t="n">
        <x:v>32505.5</x:v>
      </x:c>
      <x:c r="C74" s="303" t="str">
        <x:v>domestic dissolution</x:v>
      </x:c>
      <x:c r="D74" s="315" t="str">
        <x:v>G532_0988;OH-SOS:728764:G532_0974</x:v>
      </x:c>
      <x:c r="E74" s="303" t="str">
        <x:v>Ohio Secretary of State</x:v>
      </x:c>
      <x:c r="F74" s="303" t="str">
        <x:v>Dissolution certificate and affidavits</x:v>
      </x:c>
      <x:c r="G74" s="303" t="str">
        <x:v>Stanley Schwartz Jr.; Kenneth J. Farley; Richard W. Rubenstein; Dorothy Snow</x:v>
      </x:c>
      <x:c r="H74" s="303" t="str">
        <x:v>41 South High St., 23rd Floor, Columbus, OH 43215</x:v>
      </x:c>
      <x:c r="I74" s="303" t="str">
        <x:v>primary_image_confirmed</x:v>
      </x:c>
      <x:c r="J74" s="303" t="str">
        <x:v>Schwartz was chairman/president; Rubenstein vice president/treasurer; Snow secretary; Farley a director</x:v>
      </x:c>
      <x:c r="K74" s="303" t="str">
        <x:v>The sole shareholder is unnamed; no-personal-property language does not address real estate. Argotron G532_0974 p.7 establishes inclusion in a 46-company administrative dissolution batch; it does not establish common ownership, common control, a shared property portfolio, or beneficial ownership.</x:v>
      </x:c>
    </x:row>
    <x:row r="75" ht="58" customHeight="1">
      <x:c r="A75" s="303" t="str">
        <x:v>Harlem Investment Corporation</x:v>
      </x:c>
      <x:c r="B75" s="312" t="n">
        <x:v>32125.5</x:v>
      </x:c>
      <x:c r="C75" s="303" t="str">
        <x:v>domestic articles</x:v>
      </x:c>
      <x:c r="D75" s="315" t="str">
        <x:v>G290_1430</x:v>
      </x:c>
      <x:c r="E75" s="303" t="str">
        <x:v>Ohio Secretary of State</x:v>
      </x:c>
      <x:c r="F75" s="303" t="str">
        <x:v>Formation and original statutory-agent appointment</x:v>
      </x:c>
      <x:c r="G75" s="303" t="str">
        <x:v>Dorothy Snow</x:v>
      </x:c>
      <x:c r="H75" s="303" t="str">
        <x:v>41 South High St., Suite 2300, Columbus, OH 43215</x:v>
      </x:c>
      <x:c r="I75" s="303" t="str">
        <x:v>primary_image_confirmed</x:v>
      </x:c>
      <x:c r="J75" s="303" t="str">
        <x:v>Snow was incorporator and original statutory agent</x:v>
      </x:c>
      <x:c r="K75" s="303" t="str">
        <x:v>The articles identify no officer, director, shareholder, parcel, Epstein, or Wexner.</x:v>
      </x:c>
    </x:row>
    <x:row r="76" ht="58" customHeight="1">
      <x:c r="A76" s="303" t="str">
        <x:v>Harlem Investment Corporation</x:v>
      </x:c>
      <x:c r="B76" s="312" t="n">
        <x:v>32505.5</x:v>
      </x:c>
      <x:c r="C76" s="303" t="str">
        <x:v>domestic dissolution</x:v>
      </x:c>
      <x:c r="D76" s="315" t="str">
        <x:v>G532_1096;OH-SOS:728764:G532_0974</x:v>
      </x:c>
      <x:c r="E76" s="303" t="str">
        <x:v>Ohio Secretary of State</x:v>
      </x:c>
      <x:c r="F76" s="303" t="str">
        <x:v>Dissolution certificate and affidavits</x:v>
      </x:c>
      <x:c r="G76" s="303" t="str">
        <x:v>Stanley Schwartz Jr.; Kenneth S. Warren; Richard W. Rubenstein; Dorothy Snow</x:v>
      </x:c>
      <x:c r="H76" s="303" t="str">
        <x:v>41 South High St., 23rd Floor, Columbus, OH 43215</x:v>
      </x:c>
      <x:c r="I76" s="303" t="str">
        <x:v>primary_image_confirmed</x:v>
      </x:c>
      <x:c r="J76" s="303" t="str">
        <x:v>Schwartz was chairman/president; Rubenstein vice president/treasurer; Snow secretary; Warren a director</x:v>
      </x:c>
      <x:c r="K76" s="303" t="str">
        <x:v>The sole shareholder is unnamed; no-personal-property language does not address real estate. Argotron G532_0974 p.7 establishes inclusion in a 46-company administrative dissolution batch; it does not establish common ownership, common control, a shared property portfolio, or beneficial ownership.</x:v>
      </x:c>
    </x:row>
    <x:row r="77" ht="58" customHeight="1">
      <x:c r="A77" s="303" t="str">
        <x:v>Ivy Hearth Properties, Inc.</x:v>
      </x:c>
      <x:c r="B77" s="312" t="n">
        <x:v>32125.5</x:v>
      </x:c>
      <x:c r="C77" s="303" t="str">
        <x:v>domestic articles</x:v>
      </x:c>
      <x:c r="D77" s="315" t="str">
        <x:v>G290_1436</x:v>
      </x:c>
      <x:c r="E77" s="303" t="str">
        <x:v>Ohio Secretary of State</x:v>
      </x:c>
      <x:c r="F77" s="303" t="str">
        <x:v>Formation and original statutory-agent appointment</x:v>
      </x:c>
      <x:c r="G77" s="303" t="str">
        <x:v>Dorothy Snow</x:v>
      </x:c>
      <x:c r="H77" s="303" t="str">
        <x:v>41 South High St., Suite 2300, Columbus, OH 43215</x:v>
      </x:c>
      <x:c r="I77" s="303" t="str">
        <x:v>primary_image_confirmed</x:v>
      </x:c>
      <x:c r="J77" s="303" t="str">
        <x:v>Snow was incorporator and original statutory agent</x:v>
      </x:c>
      <x:c r="K77" s="303" t="str">
        <x:v>The articles identify no officer, director, shareholder, parcel, Epstein, or Wexner.</x:v>
      </x:c>
    </x:row>
    <x:row r="78" ht="58" customHeight="1">
      <x:c r="A78" s="303" t="str">
        <x:v>Ivy Hearth Properties, Inc.</x:v>
      </x:c>
      <x:c r="B78" s="312" t="n">
        <x:v>32505.5</x:v>
      </x:c>
      <x:c r="C78" s="303" t="str">
        <x:v>domestic dissolution</x:v>
      </x:c>
      <x:c r="D78" s="315" t="str">
        <x:v>G532_1108;OH-SOS:728764:G532_0974</x:v>
      </x:c>
      <x:c r="E78" s="303" t="str">
        <x:v>Ohio Secretary of State</x:v>
      </x:c>
      <x:c r="F78" s="303" t="str">
        <x:v>Dissolution certificate and affidavits</x:v>
      </x:c>
      <x:c r="G78" s="303" t="str">
        <x:v>Stanley Schwartz Jr.; Kenneth S. Warren; Richard W. Rubenstein; Dorothy Snow</x:v>
      </x:c>
      <x:c r="H78" s="303" t="str">
        <x:v>41 South High St., 23rd Floor, Columbus, OH 43215</x:v>
      </x:c>
      <x:c r="I78" s="303" t="str">
        <x:v>primary_image_confirmed</x:v>
      </x:c>
      <x:c r="J78" s="303" t="str">
        <x:v>Schwartz was chairman/president; Rubenstein vice president/treasurer; Snow secretary; Warren a director</x:v>
      </x:c>
      <x:c r="K78" s="303" t="str">
        <x:v>The sole shareholder is unnamed; no-personal-property language does not address real estate. Argotron G532_0974 p.7 establishes inclusion in a 46-company administrative dissolution batch; it does not establish common ownership, common control, a shared property portfolio, or beneficial ownership.</x:v>
      </x:c>
    </x:row>
    <x:row r="79" ht="58" customHeight="1">
      <x:c r="A79" s="303" t="str">
        <x:v>Rockyriver Properties, Inc.</x:v>
      </x:c>
      <x:c r="B79" s="312" t="n">
        <x:v>32125.5</x:v>
      </x:c>
      <x:c r="C79" s="303" t="str">
        <x:v>domestic articles</x:v>
      </x:c>
      <x:c r="D79" s="315" t="str">
        <x:v>G290_1454</x:v>
      </x:c>
      <x:c r="E79" s="303" t="str">
        <x:v>Ohio Secretary of State</x:v>
      </x:c>
      <x:c r="F79" s="303" t="str">
        <x:v>Formation and original statutory-agent appointment</x:v>
      </x:c>
      <x:c r="G79" s="303" t="str">
        <x:v>Dorothy Snow</x:v>
      </x:c>
      <x:c r="H79" s="303" t="str">
        <x:v>41 South High St., Suite 2300, Columbus, OH 43215</x:v>
      </x:c>
      <x:c r="I79" s="303" t="str">
        <x:v>primary_image_confirmed</x:v>
      </x:c>
      <x:c r="J79" s="303" t="str">
        <x:v>Snow was incorporator and original statutory agent</x:v>
      </x:c>
      <x:c r="K79" s="303" t="str">
        <x:v>The articles identify no officer, director, shareholder, parcel, Epstein, or Wexner.</x:v>
      </x:c>
    </x:row>
    <x:row r="80" ht="58" customHeight="1">
      <x:c r="A80" s="303" t="str">
        <x:v>Rockyriver Properties, Inc.</x:v>
      </x:c>
      <x:c r="B80" s="312" t="n">
        <x:v>32505.5</x:v>
      </x:c>
      <x:c r="C80" s="303" t="str">
        <x:v>domestic dissolution</x:v>
      </x:c>
      <x:c r="D80" s="315" t="str">
        <x:v>G532_1210;OH-SOS:728764:G532_0974</x:v>
      </x:c>
      <x:c r="E80" s="303" t="str">
        <x:v>Ohio Secretary of State</x:v>
      </x:c>
      <x:c r="F80" s="303" t="str">
        <x:v>Dissolution certificate and affidavits</x:v>
      </x:c>
      <x:c r="G80" s="303" t="str">
        <x:v>Stanley Schwartz Jr.; Kenneth S. Warren; Richard W. Rubenstein; Dorothy Snow</x:v>
      </x:c>
      <x:c r="H80" s="303" t="str">
        <x:v>41 South High St., 23rd Floor, Columbus, OH 43215</x:v>
      </x:c>
      <x:c r="I80" s="303" t="str">
        <x:v>primary_image_confirmed</x:v>
      </x:c>
      <x:c r="J80" s="303" t="str">
        <x:v>Schwartz was chairman/president; Rubenstein vice president/treasurer; Snow secretary; Warren a director</x:v>
      </x:c>
      <x:c r="K80" s="303" t="str">
        <x:v>The scan is out of page order but complete; the sole shareholder is unnamed and no-personal-property language does not address real estate. Argotron G532_0974 p.7 establishes inclusion in a 46-company administrative dissolution batch; it does not establish common ownership, common control, a shared property portfolio, or beneficial ownership.</x:v>
      </x:c>
    </x:row>
    <x:row r="81" ht="58" customHeight="1">
      <x:c r="A81" s="303" t="str">
        <x:v>Deerfield Meadows, Inc.</x:v>
      </x:c>
      <x:c r="B81" s="312" t="n">
        <x:v>32133.5</x:v>
      </x:c>
      <x:c r="C81" s="303" t="str">
        <x:v>domestic articles</x:v>
      </x:c>
      <x:c r="D81" s="315" t="str">
        <x:v>G294_1118</x:v>
      </x:c>
      <x:c r="E81" s="303" t="str">
        <x:v>Ohio Secretary of State</x:v>
      </x:c>
      <x:c r="F81" s="303" t="str">
        <x:v>Formation and original statutory-agent appointment</x:v>
      </x:c>
      <x:c r="G81" s="303" t="str">
        <x:v>Dorothy Snow</x:v>
      </x:c>
      <x:c r="H81" s="303" t="str">
        <x:v>41 South High St., Suite 2300, Columbus, OH 43215</x:v>
      </x:c>
      <x:c r="I81" s="303" t="str">
        <x:v>primary_image_confirmed</x:v>
      </x:c>
      <x:c r="J81" s="303" t="str">
        <x:v>Snow was incorporator and original statutory agent</x:v>
      </x:c>
      <x:c r="K81" s="303" t="str">
        <x:v>The articles identify no officer, director, shareholder, parcel, Epstein, or Wexner.</x:v>
      </x:c>
    </x:row>
    <x:row r="82" ht="58" customHeight="1">
      <x:c r="A82" s="303" t="str">
        <x:v>Deerfield Meadows, Inc.</x:v>
      </x:c>
      <x:c r="B82" s="312" t="n">
        <x:v>33235.5</x:v>
      </x:c>
      <x:c r="C82" s="303" t="str">
        <x:v>merged-out status and reciprocal agreement</x:v>
      </x:c>
      <x:c r="D82" s="315" t="str">
        <x:v>H052_1489;H052_1482</x:v>
      </x:c>
      <x:c r="E82" s="303" t="str">
        <x:v>Ohio Secretary of State</x:v>
      </x:c>
      <x:c r="F82" s="303" t="str">
        <x:v>Merged into Autumn Acres, Inc.</x:v>
      </x:c>
      <x:c r="G82" s="303" t="str">
        <x:v>Richard W. Rubenstein; Dorothy Snow</x:v>
      </x:c>
      <x:c r="H82" s="303" t="str">
        <x:v>41 South High St., Columbus, OH 43215</x:v>
      </x:c>
      <x:c r="I82" s="303" t="str">
        <x:v>primary_image_confirmed</x:v>
      </x:c>
      <x:c r="J82" s="303" t="str">
        <x:v>The substantive agreement names Autumn as survivor; the exact-charter MEX packet alone does not</x:v>
      </x:c>
      <x:c r="K82" s="303" t="str">
        <x:v>The sole shareholder is unnamed and no specific parcel is identified.</x:v>
      </x:c>
    </x:row>
    <x:row r="83" ht="58" customHeight="1">
      <x:c r="A83" s="303" t="str">
        <x:v>Landes Management Corporation</x:v>
      </x:c>
      <x:c r="B83" s="312" t="n">
        <x:v>32276.5</x:v>
      </x:c>
      <x:c r="C83" s="303" t="str">
        <x:v>domestic articles</x:v>
      </x:c>
      <x:c r="D83" s="315" t="str">
        <x:v>G379_0229</x:v>
      </x:c>
      <x:c r="E83" s="303" t="str">
        <x:v>Ohio Secretary of State</x:v>
      </x:c>
      <x:c r="F83" s="303" t="str">
        <x:v>Formation and original statutory-agent appointment</x:v>
      </x:c>
      <x:c r="G83" s="303" t="str">
        <x:v>Dorothy Snow</x:v>
      </x:c>
      <x:c r="H83" s="303" t="str">
        <x:v>41 South High St., Suite 2300, Columbus, OH 43215</x:v>
      </x:c>
      <x:c r="I83" s="303" t="str">
        <x:v>primary_image_confirmed</x:v>
      </x:c>
      <x:c r="J83" s="303" t="str">
        <x:v>Snow was incorporator and original statutory agent</x:v>
      </x:c>
      <x:c r="K83" s="303" t="str">
        <x:v>The articles identify no officer, director, shareholder, parcel, Epstein, or Wexner.</x:v>
      </x:c>
    </x:row>
    <x:row r="84" ht="58" customHeight="1">
      <x:c r="A84" s="303" t="str">
        <x:v>Landes Management Corporation</x:v>
      </x:c>
      <x:c r="B84" s="312" t="n">
        <x:v>33235.5</x:v>
      </x:c>
      <x:c r="C84" s="303" t="str">
        <x:v>merged-out status and reciprocal agreement</x:v>
      </x:c>
      <x:c r="D84" s="315" t="str">
        <x:v>H052_1492;H052_1482</x:v>
      </x:c>
      <x:c r="E84" s="303" t="str">
        <x:v>Ohio Secretary of State</x:v>
      </x:c>
      <x:c r="F84" s="303" t="str">
        <x:v>Merged into Autumn Acres, Inc.</x:v>
      </x:c>
      <x:c r="G84" s="303" t="str">
        <x:v>Richard W. Rubenstein; Dorothy Snow</x:v>
      </x:c>
      <x:c r="H84" s="303" t="str">
        <x:v>41 South High St., Columbus, OH 43215</x:v>
      </x:c>
      <x:c r="I84" s="303" t="str">
        <x:v>primary_image_confirmed</x:v>
      </x:c>
      <x:c r="J84" s="303" t="str">
        <x:v>The substantive agreement names Autumn as survivor; the exact-charter MEX packet alone does not</x:v>
      </x:c>
      <x:c r="K84" s="303" t="str">
        <x:v>The sole shareholder is unnamed and no specific parcel is identified.</x:v>
      </x:c>
    </x:row>
    <x:row r="85" ht="58" customHeight="1">
      <x:c r="A85" s="303" t="str">
        <x:v>Maycor Incorporated</x:v>
      </x:c>
      <x:c r="B85" s="312" t="n">
        <x:v>32276.5</x:v>
      </x:c>
      <x:c r="C85" s="303" t="str">
        <x:v>domestic articles</x:v>
      </x:c>
      <x:c r="D85" s="315" t="str">
        <x:v>G379_0235</x:v>
      </x:c>
      <x:c r="E85" s="303" t="str">
        <x:v>Ohio Secretary of State</x:v>
      </x:c>
      <x:c r="F85" s="303" t="str">
        <x:v>Formation and original statutory-agent appointment</x:v>
      </x:c>
      <x:c r="G85" s="303" t="str">
        <x:v>Dorothy Snow</x:v>
      </x:c>
      <x:c r="H85" s="303" t="str">
        <x:v>41 South High St., Suite 2300, Columbus, OH 43215</x:v>
      </x:c>
      <x:c r="I85" s="303" t="str">
        <x:v>primary_image_confirmed</x:v>
      </x:c>
      <x:c r="J85" s="303" t="str">
        <x:v>Snow was incorporator and original statutory agent</x:v>
      </x:c>
      <x:c r="K85" s="303" t="str">
        <x:v>The articles identify no officer, director, shareholder, parcel, Epstein, or Wexner.</x:v>
      </x:c>
    </x:row>
    <x:row r="86" ht="58" customHeight="1">
      <x:c r="A86" s="303" t="str">
        <x:v>Maycor Incorporated</x:v>
      </x:c>
      <x:c r="B86" s="312" t="n">
        <x:v>33235.5</x:v>
      </x:c>
      <x:c r="C86" s="303" t="str">
        <x:v>merged-out status and reciprocal agreement</x:v>
      </x:c>
      <x:c r="D86" s="315" t="str">
        <x:v>H052_1495;H052_1482</x:v>
      </x:c>
      <x:c r="E86" s="303" t="str">
        <x:v>Ohio Secretary of State</x:v>
      </x:c>
      <x:c r="F86" s="303" t="str">
        <x:v>Merged into Autumn Acres, Inc.</x:v>
      </x:c>
      <x:c r="G86" s="303" t="str">
        <x:v>Richard W. Rubenstein; Dorothy Snow</x:v>
      </x:c>
      <x:c r="H86" s="303" t="str">
        <x:v>41 South High St., Columbus, OH 43215</x:v>
      </x:c>
      <x:c r="I86" s="303" t="str">
        <x:v>primary_image_confirmed</x:v>
      </x:c>
      <x:c r="J86" s="303" t="str">
        <x:v>The substantive agreement names Autumn as survivor; the exact-charter MEX packet alone does not</x:v>
      </x:c>
      <x:c r="K86" s="303" t="str">
        <x:v>The sole shareholder is unnamed and no specific parcel is identified.</x:v>
      </x:c>
    </x:row>
    <x:row r="87" ht="58" customHeight="1">
      <x:c r="A87" s="303" t="str">
        <x:v>New Albany 84, Inc. / New Albany 74, Inc.</x:v>
      </x:c>
      <x:c r="B87" s="312" t="n">
        <x:v>31869.5</x:v>
      </x:c>
      <x:c r="C87" s="303" t="str">
        <x:v>domestic articles</x:v>
      </x:c>
      <x:c r="D87" s="315" t="str">
        <x:v>G131_1185</x:v>
      </x:c>
      <x:c r="E87" s="303" t="str">
        <x:v>Ohio Secretary of State</x:v>
      </x:c>
      <x:c r="F87" s="303" t="str">
        <x:v>Formation under former name and original statutory-agent appointment</x:v>
      </x:c>
      <x:c r="G87" s="303" t="str">
        <x:v>Robert N. Wistner</x:v>
      </x:c>
      <x:c r="H87" s="303" t="str">
        <x:v>475 Metro Place North, Suite 200, Dublin, OH 43017-1374</x:v>
      </x:c>
      <x:c r="I87" s="303" t="str">
        <x:v>primary_image_confirmed</x:v>
      </x:c>
      <x:c r="J87" s="303" t="str">
        <x:v>Ohio charter 698295 was formed as New Albany 84; Wistner was incorporator and agent</x:v>
      </x:c>
      <x:c r="K87" s="303" t="str">
        <x:v>The articles identify no initial officer, director, shareholder, parcel, Epstein, or Wexner.</x:v>
      </x:c>
    </x:row>
    <x:row r="88" ht="58" customHeight="1">
      <x:c r="A88" s="303" t="str">
        <x:v>New Albany 74, Inc.</x:v>
      </x:c>
      <x:c r="B88" s="312" t="n">
        <x:v>31883.5</x:v>
      </x:c>
      <x:c r="C88" s="303" t="str">
        <x:v>amendment to articles</x:v>
      </x:c>
      <x:c r="D88" s="315" t="str">
        <x:v>G148_0780</x:v>
      </x:c>
      <x:c r="E88" s="303" t="str">
        <x:v>Ohio Secretary of State</x:v>
      </x:c>
      <x:c r="F88" s="303" t="str">
        <x:v>Name change from New Albany 84 under the same charter</x:v>
      </x:c>
      <x:c r="G88" s="303" t="str">
        <x:v>Paul S. Coppel; Dorothy Snow</x:v>
      </x:c>
      <x:c r="H88" s="303" t="str">
        <x:v>SKWR return route, 41 South High St., Columbus, OH 43215</x:v>
      </x:c>
      <x:c r="I88" s="303" t="str">
        <x:v>primary_image_confirmed</x:v>
      </x:c>
      <x:c r="J88" s="303" t="str">
        <x:v>Coppel signed as vice president and Snow as secretary; the unnamed holder of all voting common shares approved the rename</x:v>
      </x:c>
      <x:c r="K88" s="303" t="str">
        <x:v>One charter, not two entities; the filing does not identify the shareholder as Epstein or Wexner.</x:v>
      </x:c>
    </x:row>
    <x:row r="89" ht="58" customHeight="1">
      <x:c r="A89" s="303" t="str">
        <x:v>New Albany 74, Inc.</x:v>
      </x:c>
      <x:c r="B89" s="312" t="n">
        <x:v>33235.5</x:v>
      </x:c>
      <x:c r="C89" s="303" t="str">
        <x:v>merged-out status and reciprocal agreement</x:v>
      </x:c>
      <x:c r="D89" s="315" t="str">
        <x:v>H052_1498;H052_1482</x:v>
      </x:c>
      <x:c r="E89" s="303" t="str">
        <x:v>Ohio Secretary of State</x:v>
      </x:c>
      <x:c r="F89" s="303" t="str">
        <x:v>Merged into Autumn Acres, Inc.</x:v>
      </x:c>
      <x:c r="G89" s="303" t="str">
        <x:v>Richard W. Rubenstein; Dorothy Snow</x:v>
      </x:c>
      <x:c r="H89" s="303" t="str">
        <x:v>41 South High St., Columbus, OH 43215</x:v>
      </x:c>
      <x:c r="I89" s="303" t="str">
        <x:v>primary_image_confirmed</x:v>
      </x:c>
      <x:c r="J89" s="303" t="str">
        <x:v>The substantive agreement names Autumn as survivor; the exact-charter MEX packet alone does not</x:v>
      </x:c>
      <x:c r="K89" s="303" t="str">
        <x:v>The sole shareholder is unnamed and no specific parcel is identified.</x:v>
      </x:c>
    </x:row>
    <x:row r="90" ht="58" customHeight="1">
      <x:c r="A90" s="303" t="str">
        <x:v>129 Associates, Inc.</x:v>
      </x:c>
      <x:c r="B90" s="312" t="n">
        <x:v>31869.5</x:v>
      </x:c>
      <x:c r="C90" s="303" t="str">
        <x:v>domestic articles</x:v>
      </x:c>
      <x:c r="D90" s="315" t="str">
        <x:v>G131_1191</x:v>
      </x:c>
      <x:c r="E90" s="303" t="str">
        <x:v>Ohio Secretary of State</x:v>
      </x:c>
      <x:c r="F90" s="303" t="str">
        <x:v>Formation and original statutory-agent appointment</x:v>
      </x:c>
      <x:c r="G90" s="303" t="str">
        <x:v>Robert N. Wistner</x:v>
      </x:c>
      <x:c r="H90" s="303" t="str">
        <x:v>475 Metro Place North, Suite 200, Dublin, OH 43017-1374</x:v>
      </x:c>
      <x:c r="I90" s="303" t="str">
        <x:v>primary_image_confirmed</x:v>
      </x:c>
      <x:c r="J90" s="303" t="str">
        <x:v>Wistner was incorporator and original statutory agent</x:v>
      </x:c>
      <x:c r="K90" s="303" t="str">
        <x:v>Sequential charter with 698295 supports a formation batch, not common ownership; no Epstein or Wexner appears.</x:v>
      </x:c>
    </x:row>
    <x:row r="91" ht="58" customHeight="1">
      <x:c r="A91" s="303" t="str">
        <x:v>129 Associates, Inc.</x:v>
      </x:c>
      <x:c r="B91" s="312" t="n">
        <x:v>33235.5</x:v>
      </x:c>
      <x:c r="C91" s="303" t="str">
        <x:v>merged-out status and reciprocal agreement</x:v>
      </x:c>
      <x:c r="D91" s="315" t="str">
        <x:v>H052_1501;H052_1482</x:v>
      </x:c>
      <x:c r="E91" s="303" t="str">
        <x:v>Ohio Secretary of State</x:v>
      </x:c>
      <x:c r="F91" s="303" t="str">
        <x:v>Merged into Autumn Acres, Inc.</x:v>
      </x:c>
      <x:c r="G91" s="303" t="str">
        <x:v>Richard W. Rubenstein; Dorothy Snow</x:v>
      </x:c>
      <x:c r="H91" s="303" t="str">
        <x:v>41 South High St., Columbus, OH 43215</x:v>
      </x:c>
      <x:c r="I91" s="303" t="str">
        <x:v>primary_image_confirmed</x:v>
      </x:c>
      <x:c r="J91" s="303" t="str">
        <x:v>The substantive agreement names Autumn as survivor; the exact-charter MEX packet alone does not</x:v>
      </x:c>
      <x:c r="K91" s="303" t="str">
        <x:v>The sole shareholder is unnamed and no specific parcel is identified.</x:v>
      </x:c>
    </x:row>
    <x:row r="92" ht="58" customHeight="1">
      <x:c r="A92" s="303" t="str">
        <x:v>Rockyridge Development Corp.</x:v>
      </x:c>
      <x:c r="B92" s="312" t="n">
        <x:v>32133.5</x:v>
      </x:c>
      <x:c r="C92" s="303" t="str">
        <x:v>domestic articles</x:v>
      </x:c>
      <x:c r="D92" s="315" t="str">
        <x:v>G294_1075</x:v>
      </x:c>
      <x:c r="E92" s="303" t="str">
        <x:v>Ohio Secretary of State</x:v>
      </x:c>
      <x:c r="F92" s="303" t="str">
        <x:v>Formation and original statutory-agent appointment</x:v>
      </x:c>
      <x:c r="G92" s="303" t="str">
        <x:v>Dorothy Snow; Len Loraditch</x:v>
      </x:c>
      <x:c r="H92" s="303" t="str">
        <x:v>41 South High St., Suite 2300, Columbus, OH 43215</x:v>
      </x:c>
      <x:c r="I92" s="303" t="str">
        <x:v>primary_image_confirmed</x:v>
      </x:c>
      <x:c r="J92" s="303" t="str">
        <x:v>Snow was incorporator and original statutory agent; Loraditch appears only as filing return contact</x:v>
      </x:c>
      <x:c r="K92" s="303" t="str">
        <x:v>The articles identify no officer, director, shareholder, parcel, Epstein, or Wexner.</x:v>
      </x:c>
    </x:row>
    <x:row r="93" ht="58" customHeight="1">
      <x:c r="A93" s="303" t="str">
        <x:v>Rockyridge Development Corp.</x:v>
      </x:c>
      <x:c r="B93" s="312" t="n">
        <x:v>33235.5</x:v>
      </x:c>
      <x:c r="C93" s="303" t="str">
        <x:v>merged-out status and reciprocal agreement</x:v>
      </x:c>
      <x:c r="D93" s="315" t="str">
        <x:v>H052_1504;H052_1482</x:v>
      </x:c>
      <x:c r="E93" s="303" t="str">
        <x:v>Ohio Secretary of State</x:v>
      </x:c>
      <x:c r="F93" s="303" t="str">
        <x:v>Merged into Autumn Acres, Inc.</x:v>
      </x:c>
      <x:c r="G93" s="303" t="str">
        <x:v>Richard W. Rubenstein; Dorothy Snow</x:v>
      </x:c>
      <x:c r="H93" s="303" t="str">
        <x:v>41 South High St., Columbus, OH 43215</x:v>
      </x:c>
      <x:c r="I93" s="303" t="str">
        <x:v>primary_image_confirmed</x:v>
      </x:c>
      <x:c r="J93" s="303" t="str">
        <x:v>The substantive agreement names Autumn as survivor; the exact-charter MEX packet alone does not</x:v>
      </x:c>
      <x:c r="K93" s="303" t="str">
        <x:v>The sole shareholder is unnamed and no specific parcel is identified.</x:v>
      </x:c>
    </x:row>
    <x:row r="94" ht="58" customHeight="1">
      <x:c r="A94" s="303" t="str">
        <x:v>Tumbleweed Estates, Inc.</x:v>
      </x:c>
      <x:c r="B94" s="312" t="n">
        <x:v>32133.5</x:v>
      </x:c>
      <x:c r="C94" s="303" t="str">
        <x:v>domestic articles</x:v>
      </x:c>
      <x:c r="D94" s="315" t="str">
        <x:v>G294_1088</x:v>
      </x:c>
      <x:c r="E94" s="303" t="str">
        <x:v>Ohio Secretary of State</x:v>
      </x:c>
      <x:c r="F94" s="303" t="str">
        <x:v>Formation and original statutory-agent appointment</x:v>
      </x:c>
      <x:c r="G94" s="303" t="str">
        <x:v>Dorothy Snow</x:v>
      </x:c>
      <x:c r="H94" s="303" t="str">
        <x:v>41 South High St., Suite 2300, Columbus, OH 43215</x:v>
      </x:c>
      <x:c r="I94" s="303" t="str">
        <x:v>primary_image_confirmed</x:v>
      </x:c>
      <x:c r="J94" s="303" t="str">
        <x:v>Snow was incorporator and original statutory agent</x:v>
      </x:c>
      <x:c r="K94" s="303" t="str">
        <x:v>The articles identify no officer, director, shareholder, parcel, Epstein, or Wexner.</x:v>
      </x:c>
    </x:row>
    <x:row r="95" ht="58" customHeight="1">
      <x:c r="A95" s="303" t="str">
        <x:v>Tumbleweed Estates, Inc.</x:v>
      </x:c>
      <x:c r="B95" s="312" t="n">
        <x:v>33235.5</x:v>
      </x:c>
      <x:c r="C95" s="303" t="str">
        <x:v>merged-out status and reciprocal agreement</x:v>
      </x:c>
      <x:c r="D95" s="315" t="str">
        <x:v>H052_1507;H052_1482</x:v>
      </x:c>
      <x:c r="E95" s="303" t="str">
        <x:v>Ohio Secretary of State</x:v>
      </x:c>
      <x:c r="F95" s="303" t="str">
        <x:v>Merged into Autumn Acres, Inc.</x:v>
      </x:c>
      <x:c r="G95" s="303" t="str">
        <x:v>Richard W. Rubenstein; Dorothy Snow</x:v>
      </x:c>
      <x:c r="H95" s="303" t="str">
        <x:v>41 South High St., Columbus, OH 43215</x:v>
      </x:c>
      <x:c r="I95" s="303" t="str">
        <x:v>primary_image_confirmed</x:v>
      </x:c>
      <x:c r="J95" s="303" t="str">
        <x:v>The substantive agreement names Autumn as survivor; the exact-charter MEX packet alone does not</x:v>
      </x:c>
      <x:c r="K95" s="303" t="str">
        <x:v>The sole shareholder is unnamed and no specific parcel is identified.</x:v>
      </x:c>
    </x:row>
    <x:row r="96" ht="58" customHeight="1">
      <x:c r="A96" s="303" t="str">
        <x:v>Bearce Hollow, Inc.</x:v>
      </x:c>
      <x:c r="B96" s="312" t="n">
        <x:v>32142.5</x:v>
      </x:c>
      <x:c r="C96" s="303" t="str">
        <x:v>domestic merger</x:v>
      </x:c>
      <x:c r="D96" s="315" t="str">
        <x:v>G313_0688</x:v>
      </x:c>
      <x:c r="E96" s="303" t="str">
        <x:v>Ohio Secretary of State</x:v>
      </x:c>
      <x:c r="F96" s="303" t="str">
        <x:v>Merged into Rocky Fork Development Corporation</x:v>
      </x:c>
      <x:c r="G96" s="303" t="str">
        <x:v>Harold L. Levin; Paul S. Coppel; Richard W. Rubenstein</x:v>
      </x:c>
      <x:c r="H96" s="303" t="str">
        <x:v>41 South High St., Columbus, OH 43215</x:v>
      </x:c>
      <x:c r="I96" s="303" t="str">
        <x:v>primary_image_confirmed</x:v>
      </x:c>
      <x:c r="J96" s="303" t="str">
        <x:v>Agreement expressly names Bearce as merging corporation and Rocky Fork as survivor</x:v>
      </x:c>
      <x:c r="K96" s="303" t="str">
        <x:v>The mutual/sole shareholder is unnamed. Any Bearce property passed to Rocky Fork, but no parcel is identified; Epstein, Wexner, and Snow are absent.</x:v>
      </x:c>
    </x:row>
    <x:row r="97" ht="58" customHeight="1">
      <x:c r="A97" s="303" t="str">
        <x:v>Rocky Fork Development Corporation</x:v>
      </x:c>
      <x:c r="B97" s="312" t="n">
        <x:v>32142.5</x:v>
      </x:c>
      <x:c r="C97" s="303" t="str">
        <x:v>domestic merger</x:v>
      </x:c>
      <x:c r="D97" s="315" t="str">
        <x:v>G313_0688</x:v>
      </x:c>
      <x:c r="E97" s="303" t="str">
        <x:v>Ohio Secretary of State</x:v>
      </x:c>
      <x:c r="F97" s="303" t="str">
        <x:v>Survivor of Bearce Hollow merger</x:v>
      </x:c>
      <x:c r="G97" s="303" t="str">
        <x:v>Harold L. Levin; Richard W. Rubenstein</x:v>
      </x:c>
      <x:c r="H97" s="303" t="str">
        <x:v>41 South High St., Columbus, OH 43215</x:v>
      </x:c>
      <x:c r="I97" s="303" t="str">
        <x:v>primary_image_confirmed</x:v>
      </x:c>
      <x:c r="J97" s="303" t="str">
        <x:v>Rocky Fork continued and succeeded to all Bearce assets, property, real-estate interests, and liabilities</x:v>
      </x:c>
      <x:c r="K97" s="303" t="str">
        <x:v>No actual property holding is identified. This packet predates and does not name Epstein or Wexner.</x:v>
      </x:c>
    </x:row>
    <x:row r="98" ht="58" customHeight="1">
      <x:c r="A98" s="303" t="str">
        <x:v>Eastside Industrial, Inc.</x:v>
      </x:c>
      <x:c r="B98" s="312" t="n">
        <x:v>31751.5</x:v>
      </x:c>
      <x:c r="C98" s="303" t="str">
        <x:v>domestic articles</x:v>
      </x:c>
      <x:c r="D98" s="315" t="str">
        <x:v>G046_1780</x:v>
      </x:c>
      <x:c r="E98" s="303" t="str">
        <x:v>Ohio Secretary of State</x:v>
      </x:c>
      <x:c r="F98" s="303" t="str">
        <x:v>Formation and original statutory-agent appointment</x:v>
      </x:c>
      <x:c r="G98" s="303" t="str">
        <x:v>G. L. Hatfield; C T Corporation System</x:v>
      </x:c>
      <x:c r="H98" s="303" t="str">
        <x:v>Columbus, Franklin County; Carew Tower, Cincinnati, OH 45202</x:v>
      </x:c>
      <x:c r="I98" s="303" t="str">
        <x:v>primary_image_confirmed</x:v>
      </x:c>
      <x:c r="J98" s="303" t="str">
        <x:v>Formed with 750 no-par common shares and generic lawful-purpose language</x:v>
      </x:c>
      <x:c r="K98" s="303" t="str">
        <x:v>The packet names no officer, director, shareholder, parcel, Epstein, or Wexner; its cover letter batches Gahanna Trucking and Great Eastern Fastening.</x:v>
      </x:c>
    </x:row>
    <x:row r="99" ht="58" customHeight="1">
      <x:c r="A99" s="303" t="str">
        <x:v>Great Eastern Fastening Corp.</x:v>
      </x:c>
      <x:c r="B99" s="312" t="n">
        <x:v>31751.5</x:v>
      </x:c>
      <x:c r="C99" s="303" t="str">
        <x:v>domestic articles</x:v>
      </x:c>
      <x:c r="D99" s="315" t="str">
        <x:v>G046_1772</x:v>
      </x:c>
      <x:c r="E99" s="303" t="str">
        <x:v>Ohio Secretary of State</x:v>
      </x:c>
      <x:c r="F99" s="303" t="str">
        <x:v>Formation and original statutory-agent appointment</x:v>
      </x:c>
      <x:c r="G99" s="303" t="str">
        <x:v>G. L. Hatfield; C T Corporation System</x:v>
      </x:c>
      <x:c r="H99" s="303" t="str">
        <x:v>Columbus, Franklin County; Carew Tower, Cincinnati, OH 45202</x:v>
      </x:c>
      <x:c r="I99" s="303" t="str">
        <x:v>primary_image_confirmed</x:v>
      </x:c>
      <x:c r="J99" s="303" t="str">
        <x:v>Formed with 750 no-par common shares and generic lawful-purpose language</x:v>
      </x:c>
      <x:c r="K99" s="303" t="str">
        <x:v>The packet names no officer, director, shareholder, parcel, Epstein, or Wexner; its cover letter batches Gahanna Trucking and Eastside Industrial.</x:v>
      </x:c>
    </x:row>
    <x:row r="100" ht="58" customHeight="1">
      <x:c r="A100" s="303" t="str">
        <x:v>Eastside Industrial, Inc.</x:v>
      </x:c>
      <x:c r="B100" s="312" t="n">
        <x:v>32128.5</x:v>
      </x:c>
      <x:c r="C100" s="303" t="str">
        <x:v>subsequent agent appointment</x:v>
      </x:c>
      <x:c r="D100" s="315" t="str">
        <x:v>G296_1217</x:v>
      </x:c>
      <x:c r="E100" s="303" t="str">
        <x:v>Ohio Secretary of State</x:v>
      </x:c>
      <x:c r="F100" s="303" t="str">
        <x:v>Dorothy Snow succeeded C T Corporation System as statutory agent</x:v>
      </x:c>
      <x:c r="G100" s="303" t="str">
        <x:v>Paul S. Coppel; Dorothy Snow</x:v>
      </x:c>
      <x:c r="H100" s="303" t="str">
        <x:v>41 S. High Street, Suite 2300, Columbus, OH 43215</x:v>
      </x:c>
      <x:c r="I100" s="303" t="str">
        <x:v>primary_image_confirmed</x:v>
      </x:c>
      <x:c r="J100" s="303" t="str">
        <x:v>Coppel signed as secretary; the form was executed 1987-12-11 and recorded 1987-12-17</x:v>
      </x:c>
      <x:c r="K100" s="303" t="str">
        <x:v>Agent status does not establish ownership, an officer role, or a property interest.</x:v>
      </x:c>
    </x:row>
    <x:row r="101" ht="58" customHeight="1">
      <x:c r="A101" s="303" t="str">
        <x:v>Great Eastern Fastening Corp.</x:v>
      </x:c>
      <x:c r="B101" s="312" t="n">
        <x:v>32128.5</x:v>
      </x:c>
      <x:c r="C101" s="303" t="str">
        <x:v>subsequent agent appointment</x:v>
      </x:c>
      <x:c r="D101" s="315" t="str">
        <x:v>G296_1223</x:v>
      </x:c>
      <x:c r="E101" s="303" t="str">
        <x:v>Ohio Secretary of State</x:v>
      </x:c>
      <x:c r="F101" s="303" t="str">
        <x:v>Dorothy Snow succeeded C T Corporation System as statutory agent</x:v>
      </x:c>
      <x:c r="G101" s="303" t="str">
        <x:v>Paul S. Coppel; Dorothy Snow</x:v>
      </x:c>
      <x:c r="H101" s="303" t="str">
        <x:v>41 S. High Street, Suite 2300, Columbus, OH 43215</x:v>
      </x:c>
      <x:c r="I101" s="303" t="str">
        <x:v>primary_image_confirmed</x:v>
      </x:c>
      <x:c r="J101" s="303" t="str">
        <x:v>Coppel signed as secretary; the form was executed 1987-12-11 and recorded 1987-12-17</x:v>
      </x:c>
      <x:c r="K101" s="303" t="str">
        <x:v>Agent status does not establish ownership, an officer role, or a property interest.</x:v>
      </x:c>
    </x:row>
    <x:row r="102" ht="58" customHeight="1">
      <x:c r="A102" s="303" t="str">
        <x:v>Great Eastern Fastening Corp.</x:v>
      </x:c>
      <x:c r="B102" s="312" t="n">
        <x:v>32864.5</x:v>
      </x:c>
      <x:c r="C102" s="303" t="str">
        <x:v>merged-out status and reciprocal agreement</x:v>
      </x:c>
      <x:c r="D102" s="315" t="str">
        <x:v>G769_0695;G769_0688</x:v>
      </x:c>
      <x:c r="E102" s="303" t="str">
        <x:v>Ohio Secretary of State</x:v>
      </x:c>
      <x:c r="F102" s="303" t="str">
        <x:v>Merged into Eastside Industrial, Inc.</x:v>
      </x:c>
      <x:c r="G102" s="303" t="str">
        <x:v>Harold L. Levin; Stanley Schwartz, Jr.</x:v>
      </x:c>
      <x:c r="H102" s="303" t="str">
        <x:v>41 S. High Street, Columbus, OH 43215</x:v>
      </x:c>
      <x:c r="I102" s="303" t="str">
        <x:v>primary_image_confirmed</x:v>
      </x:c>
      <x:c r="J102" s="303" t="str">
        <x:v>The substantive agreement names Great Eastern as merged corporation and Eastside as survivor</x:v>
      </x:c>
      <x:c r="K102" s="303" t="str">
        <x:v>The exact-charter MEX packet alone omits the survivor. The sole shareholder is unnamed and no specific parcel is identified.</x:v>
      </x:c>
    </x:row>
    <x:row r="103" ht="58" customHeight="1">
      <x:c r="A103" s="303" t="str">
        <x:v>Eastside Industrial, Inc.</x:v>
      </x:c>
      <x:c r="B103" s="312" t="n">
        <x:v>32864.5</x:v>
      </x:c>
      <x:c r="C103" s="303" t="str">
        <x:v>domestic merger</x:v>
      </x:c>
      <x:c r="D103" s="315" t="str">
        <x:v>G769_0688</x:v>
      </x:c>
      <x:c r="E103" s="303" t="str">
        <x:v>Ohio Secretary of State</x:v>
      </x:c>
      <x:c r="F103" s="303" t="str">
        <x:v>Survivor of Great Eastern Fastening merger</x:v>
      </x:c>
      <x:c r="G103" s="303" t="str">
        <x:v>Harold L. Levin; Stanley Schwartz, Jr.</x:v>
      </x:c>
      <x:c r="H103" s="303" t="str">
        <x:v>41 S. High Street, Columbus, OH 43215</x:v>
      </x:c>
      <x:c r="I103" s="303" t="str">
        <x:v>primary_image_confirmed</x:v>
      </x:c>
      <x:c r="J103" s="303" t="str">
        <x:v>Eastside continued and succeeded to all Great Eastern assets, property, real-estate interests, and liabilities</x:v>
      </x:c>
      <x:c r="K103" s="303" t="str">
        <x:v>No actual property holding is identified; Epstein, Wexner, and Snow are absent from the merger packet.</x:v>
      </x:c>
    </x:row>
    <x:row r="104" ht="58" customHeight="1">
      <x:c r="A104" s="303" t="str">
        <x:v>Eastside Industrial, Inc.</x:v>
      </x:c>
      <x:c r="B104" s="312" t="n">
        <x:v>32871.5</x:v>
      </x:c>
      <x:c r="C104" s="303" t="str">
        <x:v>domestic dissolution</x:v>
      </x:c>
      <x:c r="D104" s="315" t="str">
        <x:v>G805_0338</x:v>
      </x:c>
      <x:c r="E104" s="303" t="str">
        <x:v>Ohio Secretary of State</x:v>
      </x:c>
      <x:c r="F104" s="303" t="str">
        <x:v>Dissolved one week after surviving the Great Eastern merger</x:v>
      </x:c>
      <x:c r="G104" s="303" t="str">
        <x:v>Harold L. Levin; Stanley Schwartz, Jr.; Dorothy Snow</x:v>
      </x:c>
      <x:c r="H104" s="303" t="str">
        <x:v>41 S. High Street, Suites 3710 and 2300, Columbus, OH 43215</x:v>
      </x:c>
      <x:c r="I104" s="303" t="str">
        <x:v>primary_image_confirmed</x:v>
      </x:c>
      <x:c r="J104" s="303" t="str">
        <x:v>Levin was president and sole director; Schwartz secretary; Snow statutory agent; sole shareholder unnamed</x:v>
      </x:c>
      <x:c r="K104" s="303" t="str">
        <x:v>The no-personal-property affidavit does not rule out real estate and the packet names no asset recipient.</x:v>
      </x:c>
    </x:row>
    <x:row r="105" ht="58" customHeight="1">
      <x:c r="A105" s="303" t="str">
        <x:v>Carlisle Meadows, Inc.</x:v>
      </x:c>
      <x:c r="B105" s="312" t="n">
        <x:v>31748.5</x:v>
      </x:c>
      <x:c r="C105" s="303" t="str">
        <x:v>domestic articles</x:v>
      </x:c>
      <x:c r="D105" s="315" t="str">
        <x:v>G043_1702</x:v>
      </x:c>
      <x:c r="E105" s="303" t="str">
        <x:v>Ohio Secretary of State</x:v>
      </x:c>
      <x:c r="F105" s="303" t="str">
        <x:v>Formation and original statutory-agent appointment</x:v>
      </x:c>
      <x:c r="G105" s="303" t="str">
        <x:v>G. L. Hatfield; CT Corporation System</x:v>
      </x:c>
      <x:c r="H105" s="303" t="str">
        <x:v>Columbus, Franklin County; CT Corporation System, Carew Tower, Cincinnati, OH 45202</x:v>
      </x:c>
      <x:c r="I105" s="303" t="str">
        <x:v>primary_image_confirmed</x:v>
      </x:c>
      <x:c r="J105" s="303" t="str">
        <x:v>Hatfield was incorporator; CT Corporation System was original statutory agent; articles authorized 750 no-par common shares</x:v>
      </x:c>
      <x:c r="K105" s="303" t="str">
        <x:v>The generic articles identify no officer, director, shareholder, parcel, Epstein, or Wexner.</x:v>
      </x:c>
    </x:row>
    <x:row r="106" ht="58" customHeight="1">
      <x:c r="A106" s="303" t="str">
        <x:v>Carlisle Meadows, Inc.</x:v>
      </x:c>
      <x:c r="B106" s="312" t="n">
        <x:v>32128.5</x:v>
      </x:c>
      <x:c r="C106" s="303" t="str">
        <x:v>domestic agent subsequent appointment</x:v>
      </x:c>
      <x:c r="D106" s="315" t="str">
        <x:v>G296_1208</x:v>
      </x:c>
      <x:c r="E106" s="303" t="str">
        <x:v>Ohio Secretary of State</x:v>
      </x:c>
      <x:c r="F106" s="303" t="str">
        <x:v>Subsequent statutory-agent appointment</x:v>
      </x:c>
      <x:c r="G106" s="303" t="str">
        <x:v>Dorothy Snow; Paul S. Coppel</x:v>
      </x:c>
      <x:c r="H106" s="303" t="str">
        <x:v>c/o Schwartz, Kelm, Warren &amp; Rubenstein, 41 S. High Street, Suite 2300, Columbus, OH 43215</x:v>
      </x:c>
      <x:c r="I106" s="303" t="str">
        <x:v>primary_image_confirmed</x:v>
      </x:c>
      <x:c r="J106" s="303" t="str">
        <x:v>Snow succeeded CT Corporation System; Coppel signed as Secretary on 1987-12-11</x:v>
      </x:c>
      <x:c r="K106" s="303" t="str">
        <x:v>An agent appointment and secretary signature are administrative roles and do not establish ownership.</x:v>
      </x:c>
    </x:row>
    <x:row r="107" ht="58" customHeight="1">
      <x:c r="A107" s="303" t="str">
        <x:v>Carlisle Meadows, Inc.</x:v>
      </x:c>
      <x:c r="B107" s="312" t="n">
        <x:v>32505.5</x:v>
      </x:c>
      <x:c r="C107" s="303" t="str">
        <x:v>domestic dissolution</x:v>
      </x:c>
      <x:c r="D107" s="315" t="str">
        <x:v>G532_0994;OH-SOS:728764:G532_0974</x:v>
      </x:c>
      <x:c r="E107" s="303" t="str">
        <x:v>Ohio Secretary of State</x:v>
      </x:c>
      <x:c r="F107" s="303" t="str">
        <x:v>Voluntary dissolution certificate and affidavits</x:v>
      </x:c>
      <x:c r="G107" s="303" t="str">
        <x:v>Harold L. Levin; Stanley Schwartz, Jr.; Dorothy Snow</x:v>
      </x:c>
      <x:c r="H107" s="303" t="str">
        <x:v>41 S. High St., Suite 3710 and 23rd Floor, Columbus, OH 43215</x:v>
      </x:c>
      <x:c r="I107" s="303" t="str">
        <x:v>primary_image_confirmed</x:v>
      </x:c>
      <x:c r="J107" s="303" t="str">
        <x:v>Levin was president, treasurer, and sole director; Schwartz secretary; Snow statutory agent; sole shareholder unnamed</x:v>
      </x:c>
      <x:c r="K107" s="303" t="str">
        <x:v>Papers were executed 1988-12-22 and certified 1988-12-29. No-personal-property language does not address real estate; no merger or asset recipient is named. Argotron G532_0974 p.7 establishes inclusion in a 46-company administrative dissolution batch; it does not establish common ownership, common control, a shared property portfolio, or beneficial ownership.</x:v>
      </x:c>
    </x:row>
    <x:row r="108" ht="58" customHeight="1">
      <x:c r="A108" s="303" t="str">
        <x:v>Daiseyland Farms, Inc.</x:v>
      </x:c>
      <x:c r="B108" s="312" t="n">
        <x:v>31747.5</x:v>
      </x:c>
      <x:c r="C108" s="303" t="str">
        <x:v>domestic articles</x:v>
      </x:c>
      <x:c r="D108" s="315" t="str">
        <x:v>G041_1751</x:v>
      </x:c>
      <x:c r="E108" s="303" t="str">
        <x:v>Ohio Secretary of State</x:v>
      </x:c>
      <x:c r="F108" s="303" t="str">
        <x:v>Formation and original statutory-agent appointment</x:v>
      </x:c>
      <x:c r="G108" s="303" t="str">
        <x:v>C. A. Record; CT Corporation System</x:v>
      </x:c>
      <x:c r="H108" s="303" t="str">
        <x:v>Columbus, Franklin County; CT Corporation System, Carew Tower, Cincinnati, OH 45202; return routed to Schwartz &amp; Kelm, 41 S. High St.</x:v>
      </x:c>
      <x:c r="I108" s="303" t="str">
        <x:v>primary_image_confirmed</x:v>
      </x:c>
      <x:c r="J108" s="303" t="str">
        <x:v>Record was incorporator; CT Corporation System was original statutory agent; articles authorized 750 no-par common shares</x:v>
      </x:c>
      <x:c r="K108" s="303" t="str">
        <x:v>The Schwartz &amp; Kelm return route is an administrative link, not ownership evidence; the articles name no officer, director, shareholder, parcel, Epstein, or Wexner.</x:v>
      </x:c>
    </x:row>
    <x:row r="109" ht="58" customHeight="1">
      <x:c r="A109" s="303" t="str">
        <x:v>Daiseyland Farms, Inc.</x:v>
      </x:c>
      <x:c r="B109" s="312" t="n">
        <x:v>32128.5</x:v>
      </x:c>
      <x:c r="C109" s="303" t="str">
        <x:v>domestic agent subsequent appointment</x:v>
      </x:c>
      <x:c r="D109" s="315" t="str">
        <x:v>G296_1214</x:v>
      </x:c>
      <x:c r="E109" s="303" t="str">
        <x:v>Ohio Secretary of State</x:v>
      </x:c>
      <x:c r="F109" s="303" t="str">
        <x:v>Subsequent statutory-agent appointment</x:v>
      </x:c>
      <x:c r="G109" s="303" t="str">
        <x:v>Dorothy Snow; Paul S. Coppel</x:v>
      </x:c>
      <x:c r="H109" s="303" t="str">
        <x:v>c/o Schwartz, Kelm, Warren &amp; Rubenstein, 41 S. High Street, Suite 2300, Columbus, OH 43215</x:v>
      </x:c>
      <x:c r="I109" s="303" t="str">
        <x:v>primary_image_confirmed</x:v>
      </x:c>
      <x:c r="J109" s="303" t="str">
        <x:v>Snow succeeded CT Corporation System; Coppel signed as Secretary on 1987-12-11</x:v>
      </x:c>
      <x:c r="K109" s="303" t="str">
        <x:v>An agent appointment and secretary signature are administrative roles and do not establish ownership.</x:v>
      </x:c>
    </x:row>
    <x:row r="110" ht="58" customHeight="1">
      <x:c r="A110" s="303" t="str">
        <x:v>Daiseyland Farms, Inc.</x:v>
      </x:c>
      <x:c r="B110" s="312" t="n">
        <x:v>33235.5</x:v>
      </x:c>
      <x:c r="C110" s="303" t="str">
        <x:v>domestic dissolution</x:v>
      </x:c>
      <x:c r="D110" s="315" t="str">
        <x:v>H052_1510</x:v>
      </x:c>
      <x:c r="E110" s="303" t="str">
        <x:v>Ohio Secretary of State</x:v>
      </x:c>
      <x:c r="F110" s="303" t="str">
        <x:v>Voluntary dissolution certificate and affidavits</x:v>
      </x:c>
      <x:c r="G110" s="303" t="str">
        <x:v>Harold L. Levin; Dorothy Snow; Paul S. Coppel</x:v>
      </x:c>
      <x:c r="H110" s="303" t="str">
        <x:v>41 S. High St., Suites 1750 and 2300, Columbus, OH 43215</x:v>
      </x:c>
      <x:c r="I110" s="303" t="str">
        <x:v>primary_image_confirmed</x:v>
      </x:c>
      <x:c r="J110" s="303" t="str">
        <x:v>The filing spells the name Daisyland; Levin was president, treasurer, and sole director; Snow vice president and agent; Coppel secretary; sole shareholder unnamed</x:v>
      </x:c>
      <x:c r="K110" s="303" t="str">
        <x:v>Daisyland is a document spelling variant, not a proven name change. No-personal-property language does not address real estate; no merger or asset recipient is named.</x:v>
      </x:c>
    </x:row>
    <x:row r="111" ht="58" customHeight="1">
      <x:c r="A111" s="303" t="str">
        <x:v>Frontier Hills, Inc.</x:v>
      </x:c>
      <x:c r="B111" s="312" t="n">
        <x:v>31748.5</x:v>
      </x:c>
      <x:c r="C111" s="303" t="str">
        <x:v>domestic articles</x:v>
      </x:c>
      <x:c r="D111" s="315" t="str">
        <x:v>G043_1694</x:v>
      </x:c>
      <x:c r="E111" s="303" t="str">
        <x:v>Ohio Secretary of State</x:v>
      </x:c>
      <x:c r="F111" s="303" t="str">
        <x:v>Formation and original statutory-agent appointment</x:v>
      </x:c>
      <x:c r="G111" s="303" t="str">
        <x:v>G. L. Hatfield; CT Corporation System</x:v>
      </x:c>
      <x:c r="H111" s="303" t="str">
        <x:v>Columbus, Franklin County; CT Corporation System, Carew Tower, Cincinnati, OH 45202</x:v>
      </x:c>
      <x:c r="I111" s="303" t="str">
        <x:v>primary_image_confirmed</x:v>
      </x:c>
      <x:c r="J111" s="303" t="str">
        <x:v>Hatfield was incorporator; CT Corporation System was original statutory agent; articles authorized 750 no-par common shares</x:v>
      </x:c>
      <x:c r="K111" s="303" t="str">
        <x:v>The generic articles identify no officer, director, shareholder, parcel, Epstein, or Wexner.</x:v>
      </x:c>
    </x:row>
    <x:row r="112" ht="58" customHeight="1">
      <x:c r="A112" s="303" t="str">
        <x:v>Frontier Hills, Inc.</x:v>
      </x:c>
      <x:c r="B112" s="312" t="n">
        <x:v>32128.5</x:v>
      </x:c>
      <x:c r="C112" s="303" t="str">
        <x:v>domestic agent subsequent appointment</x:v>
      </x:c>
      <x:c r="D112" s="315" t="str">
        <x:v>G296_1195</x:v>
      </x:c>
      <x:c r="E112" s="303" t="str">
        <x:v>Ohio Secretary of State</x:v>
      </x:c>
      <x:c r="F112" s="303" t="str">
        <x:v>Subsequent statutory-agent appointment</x:v>
      </x:c>
      <x:c r="G112" s="303" t="str">
        <x:v>Dorothy Snow; Paul S. Coppel</x:v>
      </x:c>
      <x:c r="H112" s="303" t="str">
        <x:v>c/o Schwartz, Kelm, Warren &amp; Rubenstein, 41 S. High Street, Suite 2300, Columbus, OH 43215</x:v>
      </x:c>
      <x:c r="I112" s="303" t="str">
        <x:v>primary_image_confirmed</x:v>
      </x:c>
      <x:c r="J112" s="303" t="str">
        <x:v>Snow succeeded CT Corporation System; Coppel signed as Secretary on 1987-12-11</x:v>
      </x:c>
      <x:c r="K112" s="303" t="str">
        <x:v>An agent appointment and secretary signature are administrative roles and do not establish ownership.</x:v>
      </x:c>
    </x:row>
    <x:row r="113" ht="58" customHeight="1">
      <x:c r="A113" s="303" t="str">
        <x:v>Frontier Hills, Inc.</x:v>
      </x:c>
      <x:c r="B113" s="312" t="n">
        <x:v>32505.5</x:v>
      </x:c>
      <x:c r="C113" s="303" t="str">
        <x:v>domestic dissolution</x:v>
      </x:c>
      <x:c r="D113" s="315" t="str">
        <x:v>G532_1066;OH-SOS:728764:G532_0974</x:v>
      </x:c>
      <x:c r="E113" s="303" t="str">
        <x:v>Ohio Secretary of State</x:v>
      </x:c>
      <x:c r="F113" s="303" t="str">
        <x:v>Voluntary dissolution certificate and affidavits</x:v>
      </x:c>
      <x:c r="G113" s="303" t="str">
        <x:v>Harold L. Levin; Stanley Schwartz, Jr.; Dorothy Snow</x:v>
      </x:c>
      <x:c r="H113" s="303" t="str">
        <x:v>41 S. High St., Suite 3710 and 23rd Floor, Columbus, OH 43215</x:v>
      </x:c>
      <x:c r="I113" s="303" t="str">
        <x:v>primary_image_confirmed</x:v>
      </x:c>
      <x:c r="J113" s="303" t="str">
        <x:v>Levin was president, treasurer, and sole director; Schwartz secretary; Snow statutory agent; sole shareholder unnamed</x:v>
      </x:c>
      <x:c r="K113" s="303" t="str">
        <x:v>Papers were executed 1988-12-22 and certified 1988-12-29. No-personal-property language does not address real estate; no merger or asset recipient is named. Argotron G532_0974 p.7 establishes inclusion in a 46-company administrative dissolution batch; it does not establish common ownership, common control, a shared property portfolio, or beneficial ownership.</x:v>
      </x:c>
    </x:row>
    <x:row r="114" ht="58" customHeight="1">
      <x:c r="A114" s="303" t="str">
        <x:v>Gahanna Trucking, Inc.</x:v>
      </x:c>
      <x:c r="B114" s="312" t="n">
        <x:v>31751.5</x:v>
      </x:c>
      <x:c r="C114" s="303" t="str">
        <x:v>domestic articles</x:v>
      </x:c>
      <x:c r="D114" s="315" t="str">
        <x:v>G046_1764</x:v>
      </x:c>
      <x:c r="E114" s="303" t="str">
        <x:v>Ohio Secretary of State</x:v>
      </x:c>
      <x:c r="F114" s="303" t="str">
        <x:v>Formation and original statutory-agent appointment</x:v>
      </x:c>
      <x:c r="G114" s="303" t="str">
        <x:v>G. L. Hatfield; CT Corporation System</x:v>
      </x:c>
      <x:c r="H114" s="303" t="str">
        <x:v>Columbus, Franklin County; CT Corporation System, Carew Tower, Cincinnati, OH 45202</x:v>
      </x:c>
      <x:c r="I114" s="303" t="str">
        <x:v>primary_image_confirmed</x:v>
      </x:c>
      <x:c r="J114" s="303" t="str">
        <x:v>Hatfield was incorporator and CT original agent; the cover letter grouped Gahanna with Great Eastern Fastening and Eastside Industrial</x:v>
      </x:c>
      <x:c r="K114" s="303" t="str">
        <x:v>The cover letter proves a filing batch, not common ownership; the articles identify no officer, director, shareholder, parcel, Epstein, or Wexner.</x:v>
      </x:c>
    </x:row>
    <x:row r="115" ht="58" customHeight="1">
      <x:c r="A115" s="303" t="str">
        <x:v>Gahanna Trucking, Inc.</x:v>
      </x:c>
      <x:c r="B115" s="312" t="n">
        <x:v>32128.5</x:v>
      </x:c>
      <x:c r="C115" s="303" t="str">
        <x:v>domestic agent subsequent appointment</x:v>
      </x:c>
      <x:c r="D115" s="315" t="str">
        <x:v>G296_1220</x:v>
      </x:c>
      <x:c r="E115" s="303" t="str">
        <x:v>Ohio Secretary of State</x:v>
      </x:c>
      <x:c r="F115" s="303" t="str">
        <x:v>Subsequent statutory-agent appointment</x:v>
      </x:c>
      <x:c r="G115" s="303" t="str">
        <x:v>Dorothy Snow; Paul S. Coppel</x:v>
      </x:c>
      <x:c r="H115" s="303" t="str">
        <x:v>c/o Schwartz, Kelm, Warren &amp; Rubenstein, 41 S. High Street, Suite 2300, Columbus, OH 43215</x:v>
      </x:c>
      <x:c r="I115" s="303" t="str">
        <x:v>primary_image_confirmed</x:v>
      </x:c>
      <x:c r="J115" s="303" t="str">
        <x:v>Snow succeeded CT Corporation System; Coppel signed as Secretary on 1987-12-11</x:v>
      </x:c>
      <x:c r="K115" s="303" t="str">
        <x:v>An agent appointment and secretary signature are administrative roles and do not establish ownership.</x:v>
      </x:c>
    </x:row>
    <x:row r="116" ht="58" customHeight="1">
      <x:c r="A116" s="303" t="str">
        <x:v>Gahanna Trucking, Inc.</x:v>
      </x:c>
      <x:c r="B116" s="312" t="n">
        <x:v>32505.5</x:v>
      </x:c>
      <x:c r="C116" s="303" t="str">
        <x:v>domestic dissolution</x:v>
      </x:c>
      <x:c r="D116" s="315" t="str">
        <x:v>G532_1072;OH-SOS:728764:G532_0974</x:v>
      </x:c>
      <x:c r="E116" s="303" t="str">
        <x:v>Ohio Secretary of State</x:v>
      </x:c>
      <x:c r="F116" s="303" t="str">
        <x:v>Voluntary dissolution certificate and affidavits</x:v>
      </x:c>
      <x:c r="G116" s="303" t="str">
        <x:v>Harold L. Levin; Stanley Schwartz, Jr.; Dorothy Snow</x:v>
      </x:c>
      <x:c r="H116" s="303" t="str">
        <x:v>41 S. High St., Suite 3710 and 23rd Floor, Columbus, OH 43215</x:v>
      </x:c>
      <x:c r="I116" s="303" t="str">
        <x:v>primary_image_confirmed</x:v>
      </x:c>
      <x:c r="J116" s="303" t="str">
        <x:v>Levin was president, treasurer, and sole director; Schwartz secretary; Snow statutory agent; sole shareholder unnamed</x:v>
      </x:c>
      <x:c r="K116" s="303" t="str">
        <x:v>Papers were executed 1988-12-22 and certified 1988-12-29. No-personal-property language does not address real estate; no merger or asset recipient is named. Argotron G532_0974 p.7 establishes inclusion in a 46-company administrative dissolution batch; it does not establish common ownership, common control, a shared property portfolio, or beneficial ownership.</x:v>
      </x:c>
    </x:row>
    <x:row r="117" ht="58" customHeight="1">
      <x:c r="A117" s="303" t="str">
        <x:v>Greystone Acres, Inc.</x:v>
      </x:c>
      <x:c r="B117" s="312" t="n">
        <x:v>31744.5</x:v>
      </x:c>
      <x:c r="C117" s="303" t="str">
        <x:v>domestic articles</x:v>
      </x:c>
      <x:c r="D117" s="315" t="str">
        <x:v>G041_1688</x:v>
      </x:c>
      <x:c r="E117" s="303" t="str">
        <x:v>Ohio Secretary of State</x:v>
      </x:c>
      <x:c r="F117" s="303" t="str">
        <x:v>Formation and original statutory-agent appointment</x:v>
      </x:c>
      <x:c r="G117" s="303" t="str">
        <x:v>G. L. Hatfield; CT Corporation System</x:v>
      </x:c>
      <x:c r="H117" s="303" t="str">
        <x:v>Columbus, Franklin County; CT Corporation System, Carew Tower, Cincinnati, OH 45202</x:v>
      </x:c>
      <x:c r="I117" s="303" t="str">
        <x:v>primary_image_confirmed</x:v>
      </x:c>
      <x:c r="J117" s="303" t="str">
        <x:v>Hatfield was incorporator; CT Corporation System was original statutory agent; articles authorized 750 no-par common shares</x:v>
      </x:c>
      <x:c r="K117" s="303" t="str">
        <x:v>The generic articles identify no officer, director, shareholder, parcel, Epstein, or Wexner.</x:v>
      </x:c>
    </x:row>
    <x:row r="118" ht="58" customHeight="1">
      <x:c r="A118" s="303" t="str">
        <x:v>Greystone Acres, Inc.</x:v>
      </x:c>
      <x:c r="B118" s="312" t="n">
        <x:v>32128.5</x:v>
      </x:c>
      <x:c r="C118" s="303" t="str">
        <x:v>domestic agent subsequent appointment</x:v>
      </x:c>
      <x:c r="D118" s="315" t="str">
        <x:v>G296_1199</x:v>
      </x:c>
      <x:c r="E118" s="303" t="str">
        <x:v>Ohio Secretary of State</x:v>
      </x:c>
      <x:c r="F118" s="303" t="str">
        <x:v>Subsequent statutory-agent appointment</x:v>
      </x:c>
      <x:c r="G118" s="303" t="str">
        <x:v>Dorothy Snow; Paul S. Coppel</x:v>
      </x:c>
      <x:c r="H118" s="303" t="str">
        <x:v>c/o Schwartz, Kelm, Warren &amp; Rubenstein, 41 S. High Street, Suite 2300, Columbus, OH 43215</x:v>
      </x:c>
      <x:c r="I118" s="303" t="str">
        <x:v>primary_image_confirmed</x:v>
      </x:c>
      <x:c r="J118" s="303" t="str">
        <x:v>Snow succeeded CT Corporation System; Coppel signed as Secretary on 1987-12-11</x:v>
      </x:c>
      <x:c r="K118" s="303" t="str">
        <x:v>An agent appointment and secretary signature are administrative roles and do not establish ownership.</x:v>
      </x:c>
    </x:row>
    <x:row r="119" ht="58" customHeight="1">
      <x:c r="A119" s="303" t="str">
        <x:v>Greystone Acres, Inc.</x:v>
      </x:c>
      <x:c r="B119" s="312" t="n">
        <x:v>32505.5</x:v>
      </x:c>
      <x:c r="C119" s="303" t="str">
        <x:v>domestic dissolution</x:v>
      </x:c>
      <x:c r="D119" s="315" t="str">
        <x:v>G532_1084;OH-SOS:728764:G532_0974</x:v>
      </x:c>
      <x:c r="E119" s="303" t="str">
        <x:v>Ohio Secretary of State</x:v>
      </x:c>
      <x:c r="F119" s="303" t="str">
        <x:v>Voluntary dissolution certificate and affidavits</x:v>
      </x:c>
      <x:c r="G119" s="303" t="str">
        <x:v>Harold L. Levin; Stanley Schwartz, Jr.; Dorothy Snow</x:v>
      </x:c>
      <x:c r="H119" s="303" t="str">
        <x:v>41 S. High St., Suite 3710 and 23rd Floor, Columbus, OH 43215</x:v>
      </x:c>
      <x:c r="I119" s="303" t="str">
        <x:v>primary_image_confirmed</x:v>
      </x:c>
      <x:c r="J119" s="303" t="str">
        <x:v>Levin was president, treasurer, and sole director; Schwartz secretary; Snow statutory agent; sole shareholder unnamed</x:v>
      </x:c>
      <x:c r="K119" s="303" t="str">
        <x:v>Papers were executed 1988-12-22 and certified 1988-12-29. No-personal-property language does not address real estate; no merger or asset recipient is named. Argotron G532_0974 p.7 establishes inclusion in a 46-company administrative dissolution batch; it does not establish common ownership, common control, a shared property portfolio, or beneficial ownership.</x:v>
      </x:c>
    </x:row>
    <x:row r="120" ht="58" customHeight="1">
      <x:c r="A120" s="303" t="str">
        <x:v>Brewer Farms, Inc.</x:v>
      </x:c>
      <x:c r="B120" s="312" t="n">
        <x:v>31748.5</x:v>
      </x:c>
      <x:c r="C120" s="303" t="str">
        <x:v>domestic articles</x:v>
      </x:c>
      <x:c r="D120" s="315" t="str">
        <x:v>G043_1710</x:v>
      </x:c>
      <x:c r="E120" s="303" t="str">
        <x:v>Ohio Secretary of State</x:v>
      </x:c>
      <x:c r="F120" s="303" t="str">
        <x:v>Formation and original statutory-agent appointment</x:v>
      </x:c>
      <x:c r="G120" s="303" t="str">
        <x:v>G. L. Hatfield; CT Corporation System</x:v>
      </x:c>
      <x:c r="H120" s="303" t="str">
        <x:v>Columbus, Franklin County; CT Corporation System, Carew Tower, Cincinnati, Hamilton County, OH 45202</x:v>
      </x:c>
      <x:c r="I120" s="303" t="str">
        <x:v>primary_image_confirmed</x:v>
      </x:c>
      <x:c r="J120" s="303" t="str">
        <x:v>Hatfield was incorporator; CT Corporation System was original statutory agent; articles authorized 750 no-par common shares</x:v>
      </x:c>
      <x:c r="K120" s="303" t="str">
        <x:v>The generic articles identify no officer, director, shareholder, parcel, Epstein, or Wexner.</x:v>
      </x:c>
    </x:row>
    <x:row r="121" ht="58" customHeight="1">
      <x:c r="A121" s="303" t="str">
        <x:v>Brewer Farms, Inc.</x:v>
      </x:c>
      <x:c r="B121" s="312" t="n">
        <x:v>32128.5</x:v>
      </x:c>
      <x:c r="C121" s="303" t="str">
        <x:v>domestic agent subsequent appointment</x:v>
      </x:c>
      <x:c r="D121" s="315" t="str">
        <x:v>G296_1205</x:v>
      </x:c>
      <x:c r="E121" s="303" t="str">
        <x:v>Ohio Secretary of State</x:v>
      </x:c>
      <x:c r="F121" s="303" t="str">
        <x:v>Subsequent statutory-agent appointment</x:v>
      </x:c>
      <x:c r="G121" s="303" t="str">
        <x:v>Dorothy Snow; Paul S. Coppel</x:v>
      </x:c>
      <x:c r="H121" s="303" t="str">
        <x:v>c/o Schwartz, Kelm, Warren &amp; Rubenstein, 41 S. High Street, Suite 2300, Columbus, OH 43215</x:v>
      </x:c>
      <x:c r="I121" s="303" t="str">
        <x:v>primary_image_confirmed</x:v>
      </x:c>
      <x:c r="J121" s="303" t="str">
        <x:v>Snow succeeded CT Corporation System; Coppel signed the appointment on 1987-12-11</x:v>
      </x:c>
      <x:c r="K121" s="303" t="str">
        <x:v>Coppel's exact corporate capacity is illegible. An agent appointment and signature are administrative facts and do not establish ownership.</x:v>
      </x:c>
    </x:row>
    <x:row r="122" ht="58" customHeight="1">
      <x:c r="A122" s="303" t="str">
        <x:v>Brewer Farms, Inc.</x:v>
      </x:c>
      <x:c r="B122" s="312" t="n">
        <x:v>32142.5</x:v>
      </x:c>
      <x:c r="C122" s="303" t="str">
        <x:v>merged-out status packet</x:v>
      </x:c>
      <x:c r="D122" s="315" t="str">
        <x:v>G313_0675</x:v>
      </x:c>
      <x:c r="E122" s="303" t="str">
        <x:v>Ohio Secretary of State</x:v>
      </x:c>
      <x:c r="F122" s="303" t="str">
        <x:v>MEX certificate and administrative routing</x:v>
      </x:c>
      <x:c r="G122" s="303" t="str">
        <x:v>J. McCoy</x:v>
      </x:c>
      <x:c r="H122" s="303" t="str">
        <x:v>Schwartz, Kelm, Warren &amp; Rubenstein, 41 S. High St., Columbus, OH 43215</x:v>
      </x:c>
      <x:c r="I122" s="303" t="str">
        <x:v>primary_image_confirmed</x:v>
      </x:c>
      <x:c r="J122" s="303" t="str">
        <x:v>Certificate records Brewer Farms as MEX on roll G313 at frame 0677</x:v>
      </x:c>
      <x:c r="K122" s="303" t="str">
        <x:v>The three-page packet names no survivor, other constituent, officer, shareholder, parcel, Epstein, or Wexner; shared routing does not prove a merger party.</x:v>
      </x:c>
    </x:row>
    <x:row r="123" ht="58" customHeight="1">
      <x:c r="A123" s="303" t="str">
        <x:v>Central Falls, Inc.</x:v>
      </x:c>
      <x:c r="B123" s="312" t="n">
        <x:v>31748.5</x:v>
      </x:c>
      <x:c r="C123" s="303" t="str">
        <x:v>domestic articles</x:v>
      </x:c>
      <x:c r="D123" s="315" t="str">
        <x:v>G043_1726</x:v>
      </x:c>
      <x:c r="E123" s="303" t="str">
        <x:v>Ohio Secretary of State</x:v>
      </x:c>
      <x:c r="F123" s="303" t="str">
        <x:v>Formation and original statutory-agent appointment</x:v>
      </x:c>
      <x:c r="G123" s="303" t="str">
        <x:v>G. L. Hatfield; CT Corporation System</x:v>
      </x:c>
      <x:c r="H123" s="303" t="str">
        <x:v>Columbus, Franklin County; CT Corporation System, Carew Tower, Cincinnati, Hamilton County, OH 45202</x:v>
      </x:c>
      <x:c r="I123" s="303" t="str">
        <x:v>primary_image_confirmed</x:v>
      </x:c>
      <x:c r="J123" s="303" t="str">
        <x:v>Hatfield was incorporator; CT Corporation System was original statutory agent; articles authorized 750 no-par common shares</x:v>
      </x:c>
      <x:c r="K123" s="303" t="str">
        <x:v>The generic articles identify no officer, director, shareholder, parcel, Epstein, or Wexner.</x:v>
      </x:c>
    </x:row>
    <x:row r="124" ht="58" customHeight="1">
      <x:c r="A124" s="303" t="str">
        <x:v>Central Falls, Inc.</x:v>
      </x:c>
      <x:c r="B124" s="312" t="n">
        <x:v>32128.5</x:v>
      </x:c>
      <x:c r="C124" s="303" t="str">
        <x:v>domestic agent subsequent appointment</x:v>
      </x:c>
      <x:c r="D124" s="315" t="str">
        <x:v>G296_1211</x:v>
      </x:c>
      <x:c r="E124" s="303" t="str">
        <x:v>Ohio Secretary of State</x:v>
      </x:c>
      <x:c r="F124" s="303" t="str">
        <x:v>Subsequent statutory-agent appointment</x:v>
      </x:c>
      <x:c r="G124" s="303" t="str">
        <x:v>Dorothy Snow; Paul S. Coppel</x:v>
      </x:c>
      <x:c r="H124" s="303" t="str">
        <x:v>c/o Schwartz, Kelm, Warren &amp; Rubenstein, 41 S. High Street, Suite 2300, Columbus, OH 43215</x:v>
      </x:c>
      <x:c r="I124" s="303" t="str">
        <x:v>primary_image_confirmed</x:v>
      </x:c>
      <x:c r="J124" s="303" t="str">
        <x:v>Snow succeeded CT Corporation System; Coppel signed the appointment on 1987-12-11</x:v>
      </x:c>
      <x:c r="K124" s="303" t="str">
        <x:v>Coppel's exact corporate capacity is illegible. An agent appointment and signature are administrative facts and do not establish ownership.</x:v>
      </x:c>
    </x:row>
    <x:row r="125" ht="58" customHeight="1">
      <x:c r="A125" s="303" t="str">
        <x:v>Central Falls, Inc.</x:v>
      </x:c>
      <x:c r="B125" s="312" t="n">
        <x:v>32142.5</x:v>
      </x:c>
      <x:c r="C125" s="303" t="str">
        <x:v>merged-out status packet</x:v>
      </x:c>
      <x:c r="D125" s="315" t="str">
        <x:v>G313_0685</x:v>
      </x:c>
      <x:c r="E125" s="303" t="str">
        <x:v>Ohio Secretary of State</x:v>
      </x:c>
      <x:c r="F125" s="303" t="str">
        <x:v>MEX certificate and administrative routing</x:v>
      </x:c>
      <x:c r="G125" s="303" t="str">
        <x:v>J. McCoy</x:v>
      </x:c>
      <x:c r="H125" s="303" t="str">
        <x:v>Schwartz, Kelm, Warren &amp; Rubenstein, 41 S. High St., Columbus, OH 43215</x:v>
      </x:c>
      <x:c r="I125" s="303" t="str">
        <x:v>primary_image_confirmed</x:v>
      </x:c>
      <x:c r="J125" s="303" t="str">
        <x:v>Certificate records Central Falls as MEX on roll G313 at frame 0687</x:v>
      </x:c>
      <x:c r="K125" s="303" t="str">
        <x:v>The three-page packet names no survivor, other constituent, officer, shareholder, parcel, Epstein, or Wexner; shared routing does not prove a merger party.</x:v>
      </x:c>
    </x:row>
    <x:row r="126" ht="58" customHeight="1">
      <x:c r="A126" s="303" t="str">
        <x:v>The Wexner Foundation</x:v>
      </x:c>
      <x:c r="B126" s="312" t="n">
        <x:v>26728.5</x:v>
      </x:c>
      <x:c r="C126" s="303" t="str">
        <x:v>official registry metadata</x:v>
      </x:c>
      <x:c r="D126" s="315" t="str">
        <x:v>OH-REGISTRY:436405</x:v>
      </x:c>
      <x:c r="E126" s="303" t="str">
        <x:v>Ohio Secretary of State registry cache</x:v>
      </x:c>
      <x:c r="F126" s="303" t="str">
        <x:v>Exact Ohio nonprofit charter and current registry status</x:v>
      </x:c>
      <x:c r="G126" s="303" t="str">
        <x:v>The Wexner Foundation</x:v>
      </x:c>
      <x:c r="H126" s="303"/>
      <x:c r="I126" s="303" t="str">
        <x:v>official_registry_metadata_confirmed</x:v>
      </x:c>
      <x:c r="J126" s="303" t="str">
        <x:v>Ohio charter 436405; nonprofit; active registry record</x:v>
      </x:c>
      <x:c r="K126" s="303" t="str">
        <x:v>Metadata establishes the exact charter but does not substitute for the historical filing images or identify trustees.</x:v>
      </x:c>
    </x:row>
    <x:row r="127" ht="58" customHeight="1">
      <x:c r="A127" s="303" t="str">
        <x:v>The Wexner Foundation</x:v>
      </x:c>
      <x:c r="B127" s="312" t="n">
        <x:v>34404.5</x:v>
      </x:c>
      <x:c r="C127" s="303" t="str">
        <x:v>SEC ownership filing</x:v>
      </x:c>
      <x:c r="D127" s="315" t="str">
        <x:v>SEC:901359:000095010994000416</x:v>
      </x:c>
      <x:c r="E127" s="303" t="str">
        <x:v>U.S. Securities and Exchange Commission</x:v>
      </x:c>
      <x:c r="F127" s="303" t="str">
        <x:v>Historical trustee and address identification</x:v>
      </x:c>
      <x:c r="G127" s="303" t="str">
        <x:v>Jeffrey E. Epstein; The Wexner Foundation</x:v>
      </x:c>
      <x:c r="H127" s="303" t="str">
        <x:v>41 South High Street, Suite 3710, Columbus, OH 43215</x:v>
      </x:c>
      <x:c r="I127" s="303" t="str">
        <x:v>primary_sec_filing_confirmed</x:v>
      </x:c>
      <x:c r="J127" s="303" t="str">
        <x:v>The filing identifies Epstein in the Wexner Foundation trustee context and supplies the Columbus address crosswalk</x:v>
      </x:c>
      <x:c r="K127" s="303" t="str">
        <x:v>This is primary SEC evidence, not an Ohio corporate filing. The Ohio trustee, merger, and removal actions still require exact-charter image review.</x:v>
      </x:c>
    </x:row>
    <x:row r="128" ht="58" customHeight="1">
      <x:c r="A128" s="303" t="str">
        <x:v>The Leslie H. Wexner Foundation</x:v>
      </x:c>
      <x:c r="B128" s="312" t="n">
        <x:v>31244.5</x:v>
      </x:c>
      <x:c r="C128" s="303" t="str">
        <x:v>official registry metadata</x:v>
      </x:c>
      <x:c r="D128" s="315" t="str">
        <x:v>OH-REGISTRY:658659</x:v>
      </x:c>
      <x:c r="E128" s="303" t="str">
        <x:v>Ohio Secretary of State registry cache</x:v>
      </x:c>
      <x:c r="F128" s="303" t="str">
        <x:v>Exact Ohio foundation charter and inactive registry status</x:v>
      </x:c>
      <x:c r="G128" s="303" t="str">
        <x:v>The Leslie H. Wexner Foundation</x:v>
      </x:c>
      <x:c r="H128" s="303"/>
      <x:c r="I128" s="303" t="str">
        <x:v>official_registry_metadata_confirmed</x:v>
      </x:c>
      <x:c r="J128" s="303" t="str">
        <x:v>Ohio charter 658659; nonprofit/foundation; inactive registry record</x:v>
      </x:c>
      <x:c r="K128" s="303" t="str">
        <x:v>Metadata establishes the exact charter only. The reported 1993 merger and every signing capacity remain pending reciprocal Ohio packet review.</x:v>
      </x:c>
    </x:row>
    <x:row r="129" ht="58" customHeight="1">
      <x:c r="A129" s="303" t="str">
        <x:v>Blueberry Ridge Properties, Inc.</x:v>
      </x:c>
      <x:c r="B129" s="312" t="n">
        <x:v>32133.5</x:v>
      </x:c>
      <x:c r="C129" s="303" t="str">
        <x:v>domestic articles</x:v>
      </x:c>
      <x:c r="D129" s="315" t="str">
        <x:v>G294_1082</x:v>
      </x:c>
      <x:c r="E129" s="303" t="str">
        <x:v>Ohio Secretary of State</x:v>
      </x:c>
      <x:c r="F129" s="303" t="str">
        <x:v>Formation and original statutory-agent appointment</x:v>
      </x:c>
      <x:c r="G129" s="303" t="str">
        <x:v>Dorothy Snow</x:v>
      </x:c>
      <x:c r="H129" s="303" t="str">
        <x:v>41 S High St., Suite 2300, Columbus, OH 43215</x:v>
      </x:c>
      <x:c r="I129" s="303" t="str">
        <x:v>primary_image_confirmed</x:v>
      </x:c>
      <x:c r="J129" s="303" t="str">
        <x:v>Snow signed as incorporator and accepted appointment as original statutory agent</x:v>
      </x:c>
      <x:c r="K129" s="303" t="str">
        <x:v>The articles identify no officer, director, shareholder, parcel, Epstein, or Wexner.</x:v>
      </x:c>
    </x:row>
    <x:row r="130" ht="58" customHeight="1">
      <x:c r="A130" s="303" t="str">
        <x:v>Blueberry Ridge Properties, Inc.</x:v>
      </x:c>
      <x:c r="B130" s="312" t="n">
        <x:v>35062.5</x:v>
      </x:c>
      <x:c r="C130" s="303" t="str">
        <x:v>merged-out status packet</x:v>
      </x:c>
      <x:c r="D130" s="315" t="str">
        <x:v>5422_1209</x:v>
      </x:c>
      <x:c r="E130" s="303" t="str">
        <x:v>Ohio Secretary of State</x:v>
      </x:c>
      <x:c r="F130" s="303" t="str">
        <x:v>MEX certificate and later processing statement</x:v>
      </x:c>
      <x:c r="G130" s="303" t="str">
        <x:v>New Albany Company; W. W. Vaughn III</x:v>
      </x:c>
      <x:c r="H130" s="303" t="str">
        <x:v>5906 E Dublin-Granville Rd., New Albany, OH 43054</x:v>
      </x:c>
      <x:c r="I130" s="303" t="str">
        <x:v>primary_image_confirmed</x:v>
      </x:c>
      <x:c r="J130" s="303" t="str">
        <x:v>Packet confirms merged-out status and routes the status document to New Albany Company</x:v>
      </x:c>
      <x:c r="K130" s="303" t="str">
        <x:v>The packet names no survivor or other constituent; a return recipient is not ownership or merger-party proof.</x:v>
      </x:c>
    </x:row>
    <x:row r="131" ht="58" customHeight="1">
      <x:c r="A131" s="303" t="str">
        <x:v>Cedar Canyon Properties, Inc.</x:v>
      </x:c>
      <x:c r="B131" s="312" t="n">
        <x:v>32133.5</x:v>
      </x:c>
      <x:c r="C131" s="303" t="str">
        <x:v>domestic articles</x:v>
      </x:c>
      <x:c r="D131" s="315" t="str">
        <x:v>G294_1100</x:v>
      </x:c>
      <x:c r="E131" s="303" t="str">
        <x:v>Ohio Secretary of State</x:v>
      </x:c>
      <x:c r="F131" s="303" t="str">
        <x:v>Formation and original statutory-agent appointment</x:v>
      </x:c>
      <x:c r="G131" s="303" t="str">
        <x:v>Dorothy Snow</x:v>
      </x:c>
      <x:c r="H131" s="303" t="str">
        <x:v>41 S High St., Suite 2300, Columbus, OH 43215</x:v>
      </x:c>
      <x:c r="I131" s="303" t="str">
        <x:v>primary_image_confirmed</x:v>
      </x:c>
      <x:c r="J131" s="303" t="str">
        <x:v>Snow signed as incorporator and accepted appointment as original statutory agent</x:v>
      </x:c>
      <x:c r="K131" s="303" t="str">
        <x:v>The articles identify no officer, director, shareholder, parcel, Epstein, or Wexner.</x:v>
      </x:c>
    </x:row>
    <x:row r="132" ht="58" customHeight="1">
      <x:c r="A132" s="303" t="str">
        <x:v>Cedar Canyon Properties, Inc.</x:v>
      </x:c>
      <x:c r="B132" s="312" t="n">
        <x:v>35062.5</x:v>
      </x:c>
      <x:c r="C132" s="303" t="str">
        <x:v>merged-out status packet</x:v>
      </x:c>
      <x:c r="D132" s="315" t="str">
        <x:v>5422_1215</x:v>
      </x:c>
      <x:c r="E132" s="303" t="str">
        <x:v>Ohio Secretary of State</x:v>
      </x:c>
      <x:c r="F132" s="303" t="str">
        <x:v>MEX certificate and later processing statement</x:v>
      </x:c>
      <x:c r="G132" s="303" t="str">
        <x:v>New Albany Company; W. W. Vaughn III</x:v>
      </x:c>
      <x:c r="H132" s="303" t="str">
        <x:v>5906 E Dublin-Granville Rd., New Albany, OH 43054</x:v>
      </x:c>
      <x:c r="I132" s="303" t="str">
        <x:v>primary_image_confirmed</x:v>
      </x:c>
      <x:c r="J132" s="303" t="str">
        <x:v>Packet confirms merged-out status and routes the status document to New Albany Company</x:v>
      </x:c>
      <x:c r="K132" s="303" t="str">
        <x:v>The packet names no survivor or other constituent; a return recipient is not ownership or merger-party proof.</x:v>
      </x:c>
    </x:row>
    <x:row r="133" ht="58" customHeight="1">
      <x:c r="A133" s="303" t="str">
        <x:v>Chestnut Heights Corporation</x:v>
      </x:c>
      <x:c r="B133" s="312" t="n">
        <x:v>32133.5</x:v>
      </x:c>
      <x:c r="C133" s="303" t="str">
        <x:v>domestic articles</x:v>
      </x:c>
      <x:c r="D133" s="315" t="str">
        <x:v>G294_1106</x:v>
      </x:c>
      <x:c r="E133" s="303" t="str">
        <x:v>Ohio Secretary of State</x:v>
      </x:c>
      <x:c r="F133" s="303" t="str">
        <x:v>Formation and original statutory-agent appointment</x:v>
      </x:c>
      <x:c r="G133" s="303" t="str">
        <x:v>Dorothy Snow</x:v>
      </x:c>
      <x:c r="H133" s="303" t="str">
        <x:v>41 S High St., Suite 2300, Columbus, OH 43215</x:v>
      </x:c>
      <x:c r="I133" s="303" t="str">
        <x:v>primary_image_confirmed</x:v>
      </x:c>
      <x:c r="J133" s="303" t="str">
        <x:v>Snow signed as incorporator and accepted appointment as original statutory agent</x:v>
      </x:c>
      <x:c r="K133" s="303" t="str">
        <x:v>The articles identify no officer, director, shareholder, parcel, Epstein, or Wexner.</x:v>
      </x:c>
    </x:row>
    <x:row r="134" ht="58" customHeight="1">
      <x:c r="A134" s="303" t="str">
        <x:v>Chestnut Heights Corporation</x:v>
      </x:c>
      <x:c r="B134" s="312" t="n">
        <x:v>32505.5</x:v>
      </x:c>
      <x:c r="C134" s="303" t="str">
        <x:v>domestic dissolution</x:v>
      </x:c>
      <x:c r="D134" s="315" t="str">
        <x:v>G532_1012;OH-SOS:728764:G532_0974</x:v>
      </x:c>
      <x:c r="E134" s="303" t="str">
        <x:v>Ohio Secretary of State</x:v>
      </x:c>
      <x:c r="F134" s="303" t="str">
        <x:v>Dissolution certificate and affidavits</x:v>
      </x:c>
      <x:c r="G134" s="303" t="str">
        <x:v>Stanley Schwartz, Jr.; Richard W. Rubenstein; Dorothy Snow</x:v>
      </x:c>
      <x:c r="H134" s="303" t="str">
        <x:v>41 S High St., 23rd Floor, Columbus, OH 43215</x:v>
      </x:c>
      <x:c r="I134" s="303" t="str">
        <x:v>primary_image_confirmed</x:v>
      </x:c>
      <x:c r="J134" s="303" t="str">
        <x:v>Schwartz was chairman/president; Rubenstein vice president/treasurer; Snow secretary; sole shareholder unnamed</x:v>
      </x:c>
      <x:c r="K134" s="303"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135" ht="58" customHeight="1">
      <x:c r="A135" s="303" t="str">
        <x:v>Plateau Acres Incorporated</x:v>
      </x:c>
      <x:c r="B135" s="312" t="n">
        <x:v>32133.5</x:v>
      </x:c>
      <x:c r="C135" s="303" t="str">
        <x:v>domestic articles</x:v>
      </x:c>
      <x:c r="D135" s="315" t="str">
        <x:v>G294_1094</x:v>
      </x:c>
      <x:c r="E135" s="303" t="str">
        <x:v>Ohio Secretary of State</x:v>
      </x:c>
      <x:c r="F135" s="303" t="str">
        <x:v>Formation and original statutory-agent appointment</x:v>
      </x:c>
      <x:c r="G135" s="303" t="str">
        <x:v>Dorothy Snow</x:v>
      </x:c>
      <x:c r="H135" s="303" t="str">
        <x:v>41 S High St., Suite 2300, Columbus, OH 43215</x:v>
      </x:c>
      <x:c r="I135" s="303" t="str">
        <x:v>primary_image_confirmed</x:v>
      </x:c>
      <x:c r="J135" s="303" t="str">
        <x:v>Snow signed as incorporator and accepted appointment as original statutory agent</x:v>
      </x:c>
      <x:c r="K135" s="303" t="str">
        <x:v>The articles identify no officer, director, shareholder, parcel, Epstein, or Wexner.</x:v>
      </x:c>
    </x:row>
    <x:row r="136" ht="58" customHeight="1">
      <x:c r="A136" s="303" t="str">
        <x:v>Plateau Acres Incorporated</x:v>
      </x:c>
      <x:c r="B136" s="312" t="n">
        <x:v>32505.5</x:v>
      </x:c>
      <x:c r="C136" s="303" t="str">
        <x:v>domestic dissolution</x:v>
      </x:c>
      <x:c r="D136" s="315" t="str">
        <x:v>G532_1186;OH-SOS:728764:G532_0974</x:v>
      </x:c>
      <x:c r="E136" s="303" t="str">
        <x:v>Ohio Secretary of State</x:v>
      </x:c>
      <x:c r="F136" s="303" t="str">
        <x:v>Dissolution certificate and affidavits</x:v>
      </x:c>
      <x:c r="G136" s="303" t="str">
        <x:v>Stanley Schwartz, Jr.; Richard W. Rubenstein; Dorothy Snow</x:v>
      </x:c>
      <x:c r="H136" s="303" t="str">
        <x:v>41 S High St., 23rd Floor, Columbus, OH 43215</x:v>
      </x:c>
      <x:c r="I136" s="303" t="str">
        <x:v>primary_image_confirmed</x:v>
      </x:c>
      <x:c r="J136" s="303" t="str">
        <x:v>Schwartz was chairman/president; Rubenstein vice president/treasurer; Snow secretary; sole shareholder unnamed</x:v>
      </x:c>
      <x:c r="K136" s="303" t="str">
        <x:v>No Epstein or Wexner appears; no-personal-property language does not address real estate. Argotron G532_0974 p.7 establishes inclusion in a 46-company administrative dissolution batch; it does not establish common ownership, common control, a shared property portfolio, or beneficial ownership.</x:v>
      </x:c>
    </x:row>
    <x:row r="137" ht="58" customHeight="1">
      <x:c r="A137" s="303" t="str">
        <x:v>Fordham Investment, Inc.</x:v>
      </x:c>
      <x:c r="B137" s="312" t="n">
        <x:v>32206.5</x:v>
      </x:c>
      <x:c r="C137" s="303" t="str">
        <x:v>domestic articles</x:v>
      </x:c>
      <x:c r="D137" s="315" t="str">
        <x:v>G339_1075</x:v>
      </x:c>
      <x:c r="E137" s="303" t="str">
        <x:v>Ohio Secretary of State</x:v>
      </x:c>
      <x:c r="F137" s="303" t="str">
        <x:v>Formation and original statutory-agent appointment</x:v>
      </x:c>
      <x:c r="G137" s="303" t="str">
        <x:v>Dorothy Snow; L. Loraditch</x:v>
      </x:c>
      <x:c r="H137" s="303" t="str">
        <x:v>Columbus, Franklin County; c/o SKWR, 41 S. High St., Suite 2300, Columbus, OH 43215</x:v>
      </x:c>
      <x:c r="I137" s="303" t="str">
        <x:v>primary_image_confirmed</x:v>
      </x:c>
      <x:c r="J137" s="303" t="str">
        <x:v>Snow signed as sole incorporator and original statutory agent; filing return routed to SKWR attention L. Loraditch</x:v>
      </x:c>
      <x:c r="K137" s="303" t="str">
        <x:v>The general lawful-purpose clause identifies no officer, shareholder, parcel, Epstein, or Wexner.</x:v>
      </x:c>
    </x:row>
    <x:row r="138" ht="58" customHeight="1">
      <x:c r="A138" s="303" t="str">
        <x:v>Fordham Investment, Inc.</x:v>
      </x:c>
      <x:c r="B138" s="312" t="n">
        <x:v>32505.5</x:v>
      </x:c>
      <x:c r="C138" s="303" t="str">
        <x:v>domestic dissolution</x:v>
      </x:c>
      <x:c r="D138" s="315" t="str">
        <x:v>G532_1048;OH-SOS:728764:G532_0974</x:v>
      </x:c>
      <x:c r="E138" s="303" t="str">
        <x:v>Ohio Secretary of State</x:v>
      </x:c>
      <x:c r="F138" s="303" t="str">
        <x:v>Dissolution executed 1988-12-22 and filed 1988-12-28</x:v>
      </x:c>
      <x:c r="G138" s="303" t="str">
        <x:v>Stanley Schwartz, Jr.; Richard W. Rubenstein; Dorothy Snow; Kenneth S. Warren; unnamed sole shareholder</x:v>
      </x:c>
      <x:c r="H138" s="303" t="str">
        <x:v>SKWR, 41 S. High St., 23rd Floor, Columbus, OH 43215</x:v>
      </x:c>
      <x:c r="I138" s="303" t="str">
        <x:v>primary_image_confirmed</x:v>
      </x:c>
      <x:c r="J138" s="303" t="str">
        <x:v>Schwartz was chairman/president, Rubenstein vice president/treasurer, Snow secretary, and Warren a director; the sole shareholder was unnamed</x:v>
      </x:c>
      <x:c r="K138" s="303"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39" ht="58" customHeight="1">
      <x:c r="A139" s="303" t="str">
        <x:v>Linden Acres, Inc.</x:v>
      </x:c>
      <x:c r="B139" s="312" t="n">
        <x:v>32206.5</x:v>
      </x:c>
      <x:c r="C139" s="303" t="str">
        <x:v>domestic articles</x:v>
      </x:c>
      <x:c r="D139" s="315" t="str">
        <x:v>G339_1082</x:v>
      </x:c>
      <x:c r="E139" s="303" t="str">
        <x:v>Ohio Secretary of State</x:v>
      </x:c>
      <x:c r="F139" s="303" t="str">
        <x:v>Formation and original statutory-agent appointment</x:v>
      </x:c>
      <x:c r="G139" s="303" t="str">
        <x:v>Dorothy Snow; L. Loraditch</x:v>
      </x:c>
      <x:c r="H139" s="303" t="str">
        <x:v>Columbus, Franklin County; c/o SKWR, 41 S. High St., Suite 2300, Columbus, OH 43215</x:v>
      </x:c>
      <x:c r="I139" s="303" t="str">
        <x:v>primary_image_confirmed</x:v>
      </x:c>
      <x:c r="J139" s="303" t="str">
        <x:v>Snow signed as sole incorporator and original statutory agent; filing return routed to SKWR attention L. Loraditch</x:v>
      </x:c>
      <x:c r="K139" s="303" t="str">
        <x:v>The general lawful-purpose clause identifies no officer, shareholder, parcel, Epstein, or Wexner.</x:v>
      </x:c>
    </x:row>
    <x:row r="140" ht="58" customHeight="1">
      <x:c r="A140" s="303" t="str">
        <x:v>Linden Acres, Inc.</x:v>
      </x:c>
      <x:c r="B140" s="312" t="n">
        <x:v>32505.5</x:v>
      </x:c>
      <x:c r="C140" s="303" t="str">
        <x:v>domestic dissolution</x:v>
      </x:c>
      <x:c r="D140" s="315" t="str">
        <x:v>G532_1120;OH-SOS:728764:G532_0974</x:v>
      </x:c>
      <x:c r="E140" s="303" t="str">
        <x:v>Ohio Secretary of State</x:v>
      </x:c>
      <x:c r="F140" s="303" t="str">
        <x:v>Dissolution executed 1988-12-22 and filed 1988-12-28</x:v>
      </x:c>
      <x:c r="G140" s="303" t="str">
        <x:v>Stanley Schwartz, Jr.; Richard W. Rubenstein; Dorothy Snow; Kenneth S. Warren; unnamed sole shareholder</x:v>
      </x:c>
      <x:c r="H140" s="303" t="str">
        <x:v>SKWR, 41 S. High St., 23rd Floor, Columbus, OH 43215</x:v>
      </x:c>
      <x:c r="I140" s="303" t="str">
        <x:v>primary_image_confirmed</x:v>
      </x:c>
      <x:c r="J140" s="303" t="str">
        <x:v>Schwartz was chairman/president, Rubenstein vice president/treasurer, Snow secretary, and Warren a director; the sole shareholder was unnamed</x:v>
      </x:c>
      <x:c r="K140" s="303"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41" ht="58" customHeight="1">
      <x:c r="A141" s="303" t="str">
        <x:v>Rockford Development, Inc.</x:v>
      </x:c>
      <x:c r="B141" s="312" t="n">
        <x:v>32206.5</x:v>
      </x:c>
      <x:c r="C141" s="303" t="str">
        <x:v>domestic articles</x:v>
      </x:c>
      <x:c r="D141" s="315" t="str">
        <x:v>G339_1096</x:v>
      </x:c>
      <x:c r="E141" s="303" t="str">
        <x:v>Ohio Secretary of State</x:v>
      </x:c>
      <x:c r="F141" s="303" t="str">
        <x:v>Formation and original statutory-agent appointment</x:v>
      </x:c>
      <x:c r="G141" s="303" t="str">
        <x:v>Dorothy Snow; L. Loraditch</x:v>
      </x:c>
      <x:c r="H141" s="303" t="str">
        <x:v>Columbus, Franklin County; c/o SKWR, 41 S. High St., Suite 2300, Columbus, OH 43215</x:v>
      </x:c>
      <x:c r="I141" s="303" t="str">
        <x:v>primary_image_confirmed</x:v>
      </x:c>
      <x:c r="J141" s="303" t="str">
        <x:v>Snow signed as sole incorporator and original statutory agent; filing return routed to SKWR attention L. Loraditch</x:v>
      </x:c>
      <x:c r="K141" s="303" t="str">
        <x:v>The general lawful-purpose clause identifies no officer, shareholder, parcel, Epstein, or Wexner.</x:v>
      </x:c>
    </x:row>
    <x:row r="142" ht="58" customHeight="1">
      <x:c r="A142" s="303" t="str">
        <x:v>Rockford Development, Inc.</x:v>
      </x:c>
      <x:c r="B142" s="312" t="n">
        <x:v>32505.5</x:v>
      </x:c>
      <x:c r="C142" s="303" t="str">
        <x:v>domestic dissolution</x:v>
      </x:c>
      <x:c r="D142" s="315" t="str">
        <x:v>G532_1204;OH-SOS:728764:G532_0974</x:v>
      </x:c>
      <x:c r="E142" s="303" t="str">
        <x:v>Ohio Secretary of State</x:v>
      </x:c>
      <x:c r="F142" s="303" t="str">
        <x:v>Dissolution executed 1988-12-22 and filed 1988-12-28</x:v>
      </x:c>
      <x:c r="G142" s="303" t="str">
        <x:v>Stanley Schwartz, Jr.; Richard W. Rubenstein; Dorothy Snow; Kenneth S. Warren; unnamed sole shareholder</x:v>
      </x:c>
      <x:c r="H142" s="303" t="str">
        <x:v>SKWR, 41 S. High St., 23rd Floor, Columbus, OH 43215</x:v>
      </x:c>
      <x:c r="I142" s="303" t="str">
        <x:v>primary_image_confirmed</x:v>
      </x:c>
      <x:c r="J142" s="303" t="str">
        <x:v>Schwartz was chairman/president, Rubenstein vice president/treasurer, Snow secretary, and Warren a director; the sole shareholder was unnamed</x:v>
      </x:c>
      <x:c r="K142" s="303"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43" ht="58" customHeight="1">
      <x:c r="A143" s="303" t="str">
        <x:v>Tudor Properties, Inc.</x:v>
      </x:c>
      <x:c r="B143" s="312" t="n">
        <x:v>32206.5</x:v>
      </x:c>
      <x:c r="C143" s="303" t="str">
        <x:v>domestic articles</x:v>
      </x:c>
      <x:c r="D143" s="315" t="str">
        <x:v>G339_1103</x:v>
      </x:c>
      <x:c r="E143" s="303" t="str">
        <x:v>Ohio Secretary of State</x:v>
      </x:c>
      <x:c r="F143" s="303" t="str">
        <x:v>Formation and original statutory-agent appointment</x:v>
      </x:c>
      <x:c r="G143" s="303" t="str">
        <x:v>Dorothy Snow; L. Loraditch</x:v>
      </x:c>
      <x:c r="H143" s="303" t="str">
        <x:v>Columbus, Franklin County; c/o SKWR, 41 S. High St., Suite 2300, Columbus, OH 43215</x:v>
      </x:c>
      <x:c r="I143" s="303" t="str">
        <x:v>primary_image_confirmed</x:v>
      </x:c>
      <x:c r="J143" s="303" t="str">
        <x:v>Snow signed as sole incorporator and original statutory agent; filing return routed to SKWR attention L. Loraditch</x:v>
      </x:c>
      <x:c r="K143" s="303" t="str">
        <x:v>The general lawful-purpose clause identifies no officer, shareholder, parcel, Epstein, or Wexner.</x:v>
      </x:c>
    </x:row>
    <x:row r="144" ht="58" customHeight="1">
      <x:c r="A144" s="303" t="str">
        <x:v>Tudor Properties, Inc.</x:v>
      </x:c>
      <x:c r="B144" s="312" t="n">
        <x:v>35062.5</x:v>
      </x:c>
      <x:c r="C144" s="303" t="str">
        <x:v>merged-out status packet</x:v>
      </x:c>
      <x:c r="D144" s="315" t="str">
        <x:v>5422_1212</x:v>
      </x:c>
      <x:c r="E144" s="303" t="str">
        <x:v>Ohio Secretary of State</x:v>
      </x:c>
      <x:c r="F144" s="303" t="str">
        <x:v>MEX certificate and 1996-02-14 processing statement</x:v>
      </x:c>
      <x:c r="G144" s="303" t="str">
        <x:v>New Albany Company; W. W. Vaughn III</x:v>
      </x:c>
      <x:c r="H144" s="303" t="str">
        <x:v>5906 E Dublin Granvle Rd., New Albany, OH 43054</x:v>
      </x:c>
      <x:c r="I144" s="303" t="str">
        <x:v>primary_image_confirmed</x:v>
      </x:c>
      <x:c r="J144" s="303" t="str">
        <x:v>Packet confirms Tudor's merged-out status and routes the status document to New Albany Company</x:v>
      </x:c>
      <x:c r="K144" s="303" t="str">
        <x:v>The three-page packet names no survivor, other constituent, asset recipient, officer, shareholder, or parcel; a return recipient is not ownership or merger-party proof.</x:v>
      </x:c>
    </x:row>
    <x:row r="145" ht="58" customHeight="1">
      <x:c r="A145" s="303" t="str">
        <x:v>Forrest Farms, Inc.</x:v>
      </x:c>
      <x:c r="B145" s="312" t="n">
        <x:v>32206.5</x:v>
      </x:c>
      <x:c r="C145" s="303" t="str">
        <x:v>domestic articles</x:v>
      </x:c>
      <x:c r="D145" s="315" t="str">
        <x:v>G339_1110</x:v>
      </x:c>
      <x:c r="E145" s="303" t="str">
        <x:v>Ohio Secretary of State</x:v>
      </x:c>
      <x:c r="F145" s="303" t="str">
        <x:v>Formation and original statutory-agent appointment</x:v>
      </x:c>
      <x:c r="G145" s="303" t="str">
        <x:v>Dorothy Snow; L. Loraditch</x:v>
      </x:c>
      <x:c r="H145" s="303" t="str">
        <x:v>Columbus, Franklin County; c/o SKWR, 41 S. High St., Suite 2300, Columbus, OH 43215</x:v>
      </x:c>
      <x:c r="I145" s="303" t="str">
        <x:v>primary_image_confirmed</x:v>
      </x:c>
      <x:c r="J145" s="303" t="str">
        <x:v>Snow signed as sole incorporator and original statutory agent; filing return routed to SKWR attention L. Loraditch</x:v>
      </x:c>
      <x:c r="K145" s="303" t="str">
        <x:v>The general lawful-purpose clause identifies no officer, shareholder, parcel, Epstein, or Wexner.</x:v>
      </x:c>
    </x:row>
    <x:row r="146" ht="58" customHeight="1">
      <x:c r="A146" s="303" t="str">
        <x:v>Forrest Farms, Inc.</x:v>
      </x:c>
      <x:c r="B146" s="312" t="n">
        <x:v>32505.5</x:v>
      </x:c>
      <x:c r="C146" s="303" t="str">
        <x:v>domestic dissolution</x:v>
      </x:c>
      <x:c r="D146" s="315" t="str">
        <x:v>G532_1060;OH-SOS:728764:G532_0974</x:v>
      </x:c>
      <x:c r="E146" s="303" t="str">
        <x:v>Ohio Secretary of State</x:v>
      </x:c>
      <x:c r="F146" s="303" t="str">
        <x:v>Dissolution executed 1988-12-22 and filed 1988-12-28</x:v>
      </x:c>
      <x:c r="G146" s="303" t="str">
        <x:v>Stanley Schwartz, Jr.; Richard W. Rubenstein; Dorothy Snow; Kenneth S. Warren; unnamed sole shareholder</x:v>
      </x:c>
      <x:c r="H146" s="303" t="str">
        <x:v>SKWR, 41 S. High St., 23rd Floor, Columbus, OH 43215</x:v>
      </x:c>
      <x:c r="I146" s="303" t="str">
        <x:v>primary_image_confirmed</x:v>
      </x:c>
      <x:c r="J146" s="303" t="str">
        <x:v>Schwartz was chairman/president, Rubenstein vice president/treasurer, Snow secretary, and Warren a director; the sole shareholder was unnamed</x:v>
      </x:c>
      <x:c r="K146" s="303"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47" ht="58" customHeight="1">
      <x:c r="A147" s="303" t="str">
        <x:v>CASELIN DEVELOPMENT CORPORATION</x:v>
      </x:c>
      <x:c r="B147" s="312" t="n">
        <x:v>32211.5</x:v>
      </x:c>
      <x:c r="C147" s="303" t="str">
        <x:v>articles and agent appointment</x:v>
      </x:c>
      <x:c r="D147" s="315" t="str">
        <x:v>G342_0153</x:v>
      </x:c>
      <x:c r="E147" s="303" t="str">
        <x:v>Ohio Secretary of State</x:v>
      </x:c>
      <x:c r="F147" s="303" t="str">
        <x:v>formation and statutory-agent appointment</x:v>
      </x:c>
      <x:c r="G147" s="303" t="str">
        <x:v>Dorothy Snow</x:v>
      </x:c>
      <x:c r="H147" s="303" t="str">
        <x:v>c/o Schwartz, Kelm, Warren &amp; Rubenstein, 41 S. High Street, Suite 2300, Columbus, Ohio 43215</x:v>
      </x:c>
      <x:c r="I147" s="303" t="str">
        <x:v>primary_image_confirmed</x:v>
      </x:c>
      <x:c r="J147" s="303" t="str">
        <x:v>Snow signed as incorporator and accepted appointment as agent; 750 no-par common shares authorized</x:v>
      </x:c>
      <x:c r="K147" s="303" t="str">
        <x:v>Corporate filing is not a property record; no parcel, deed, shareholder, or beneficial owner is identified.</x:v>
      </x:c>
    </x:row>
    <x:row r="148" ht="58" customHeight="1">
      <x:c r="A148" s="303" t="str">
        <x:v>CASELIN DEVELOPMENT CORPORATION</x:v>
      </x:c>
      <x:c r="B148" s="312" t="n">
        <x:v>32505.5</x:v>
      </x:c>
      <x:c r="C148" s="303" t="str">
        <x:v>certificate of dissolution</x:v>
      </x:c>
      <x:c r="D148" s="315" t="str">
        <x:v>G532_1000;OH-SOS:728764:G532_0974</x:v>
      </x:c>
      <x:c r="E148" s="303" t="str">
        <x:v>Ohio Secretary of State</x:v>
      </x:c>
      <x:c r="F148" s="303" t="str">
        <x:v>dissolution and officer/director roster</x:v>
      </x:c>
      <x:c r="G148" s="303" t="str">
        <x:v>Stanley Schwartz, Jr.; Richard W. Rubenstein; Dorothy Snow</x:v>
      </x:c>
      <x:c r="H148" s="303" t="str">
        <x:v>41 S. High Street, 23rd Floor, Columbus, Ohio 43215</x:v>
      </x:c>
      <x:c r="I148" s="303" t="str">
        <x:v>primary_image_confirmed</x:v>
      </x:c>
      <x:c r="J148" s="303" t="str">
        <x:v>Dissolution was authorized by an unnamed sole shareholder and signed by Rubenstein and Snow</x:v>
      </x:c>
      <x:c r="K148" s="303" t="str">
        <x:v>Affidavit says no personal property in Ohio; it does not address real estate. No asset recipient is identified. Argotron G532_0974 p.7 establishes inclusion in a 46-company administrative dissolution batch; it does not establish common ownership, common control, a shared property portfolio, or beneficial ownership.</x:v>
      </x:c>
    </x:row>
    <x:row r="149" ht="58" customHeight="1">
      <x:c r="A149" s="303" t="str">
        <x:v>FORMAN FARMS, INC.</x:v>
      </x:c>
      <x:c r="B149" s="312" t="n">
        <x:v>32211.5</x:v>
      </x:c>
      <x:c r="C149" s="303" t="str">
        <x:v>articles and agent appointment</x:v>
      </x:c>
      <x:c r="D149" s="315" t="str">
        <x:v>G343_0224</x:v>
      </x:c>
      <x:c r="E149" s="303" t="str">
        <x:v>Ohio Secretary of State</x:v>
      </x:c>
      <x:c r="F149" s="303" t="str">
        <x:v>formation and statutory-agent appointment</x:v>
      </x:c>
      <x:c r="G149" s="303" t="str">
        <x:v>Dorothy Snow</x:v>
      </x:c>
      <x:c r="H149" s="303" t="str">
        <x:v>c/o Schwartz, Kelm, Warren &amp; Rubenstein, 41 S. High Street, Suite 2300, Columbus, Ohio 43215</x:v>
      </x:c>
      <x:c r="I149" s="303" t="str">
        <x:v>primary_image_confirmed</x:v>
      </x:c>
      <x:c r="J149" s="303" t="str">
        <x:v>Snow signed as incorporator and accepted appointment as agent; 750 no-par common shares authorized</x:v>
      </x:c>
      <x:c r="K149" s="303" t="str">
        <x:v>Corporate filing is not a property record; no parcel, deed, shareholder, or beneficial owner is identified.</x:v>
      </x:c>
    </x:row>
    <x:row r="150" ht="58" customHeight="1">
      <x:c r="A150" s="303" t="str">
        <x:v>FORMAN FARMS, INC.</x:v>
      </x:c>
      <x:c r="B150" s="312" t="n">
        <x:v>32505.5</x:v>
      </x:c>
      <x:c r="C150" s="303" t="str">
        <x:v>certificate of dissolution</x:v>
      </x:c>
      <x:c r="D150" s="315" t="str">
        <x:v>G532_1054</x:v>
      </x:c>
      <x:c r="E150" s="303" t="str">
        <x:v>Ohio Secretary of State</x:v>
      </x:c>
      <x:c r="F150" s="303" t="str">
        <x:v>dissolution and officer/director roster</x:v>
      </x:c>
      <x:c r="G150" s="303" t="str">
        <x:v>Stanley Schwartz, Jr.; Richard W. Rubenstein; Dorothy Snow</x:v>
      </x:c>
      <x:c r="H150" s="303" t="str">
        <x:v>41 S. High Street, 23rd Floor, Columbus, Ohio 43215</x:v>
      </x:c>
      <x:c r="I150" s="303" t="str">
        <x:v>primary_image_confirmed</x:v>
      </x:c>
      <x:c r="J150" s="303" t="str">
        <x:v>Dissolution was authorized by an unnamed sole shareholder and signed by Rubenstein and Snow</x:v>
      </x:c>
      <x:c r="K150" s="303" t="str">
        <x:v>Affidavit says no personal property in Ohio; it does not address real estate. No asset recipient is identified.</x:v>
      </x:c>
    </x:row>
    <x:row r="151" ht="58" customHeight="1">
      <x:c r="A151" s="303" t="str">
        <x:v>SAREN INVESTMENTS INCORPORATED</x:v>
      </x:c>
      <x:c r="B151" s="312" t="n">
        <x:v>32211.5</x:v>
      </x:c>
      <x:c r="C151" s="303" t="str">
        <x:v>articles and agent appointment</x:v>
      </x:c>
      <x:c r="D151" s="315" t="str">
        <x:v>G343_0238</x:v>
      </x:c>
      <x:c r="E151" s="303" t="str">
        <x:v>Ohio Secretary of State</x:v>
      </x:c>
      <x:c r="F151" s="303" t="str">
        <x:v>formation and statutory-agent appointment</x:v>
      </x:c>
      <x:c r="G151" s="303" t="str">
        <x:v>Dorothy Snow</x:v>
      </x:c>
      <x:c r="H151" s="303" t="str">
        <x:v>c/o Schwartz, Kelm, Warren &amp; Rubenstein, 41 S. High Street, Suite 2300, Columbus, Ohio 43215</x:v>
      </x:c>
      <x:c r="I151" s="303" t="str">
        <x:v>primary_image_confirmed</x:v>
      </x:c>
      <x:c r="J151" s="303" t="str">
        <x:v>Snow signed as incorporator and accepted appointment as agent; 750 no-par common shares authorized</x:v>
      </x:c>
      <x:c r="K151" s="303" t="str">
        <x:v>Corporate filing is not a property record; no parcel, deed, shareholder, or beneficial owner is identified.</x:v>
      </x:c>
    </x:row>
    <x:row r="152" ht="58" customHeight="1">
      <x:c r="A152" s="303" t="str">
        <x:v>SAREN INVESTMENTS INCORPORATED</x:v>
      </x:c>
      <x:c r="B152" s="312" t="n">
        <x:v>32505.5</x:v>
      </x:c>
      <x:c r="C152" s="303" t="str">
        <x:v>certificate of dissolution</x:v>
      </x:c>
      <x:c r="D152" s="315" t="str">
        <x:v>G532_1216;OH-SOS:728764:G532_0974</x:v>
      </x:c>
      <x:c r="E152" s="303" t="str">
        <x:v>Ohio Secretary of State</x:v>
      </x:c>
      <x:c r="F152" s="303" t="str">
        <x:v>dissolution and officer/director roster</x:v>
      </x:c>
      <x:c r="G152" s="303" t="str">
        <x:v>Stanley Schwartz, Jr.; Richard W. Rubenstein; Dorothy Snow</x:v>
      </x:c>
      <x:c r="H152" s="303" t="str">
        <x:v>41 S. High Street, 23rd Floor, Columbus, Ohio 43215</x:v>
      </x:c>
      <x:c r="I152" s="303" t="str">
        <x:v>primary_image_confirmed</x:v>
      </x:c>
      <x:c r="J152" s="303" t="str">
        <x:v>Dissolution was authorized by an unnamed sole shareholder and signed by Rubenstein and Snow</x:v>
      </x:c>
      <x:c r="K152" s="303" t="str">
        <x:v>Affidavit says no personal property in Ohio; it does not address real estate. No asset recipient is identified. Argotron G532_0974 p.7 establishes inclusion in a 46-company administrative dissolution batch; it does not establish common ownership, common control, a shared property portfolio, or beneficial ownership.</x:v>
      </x:c>
    </x:row>
    <x:row r="153" ht="58" customHeight="1">
      <x:c r="A153" s="303" t="str">
        <x:v>TANDEM INVESTMENTS INCORPORATED</x:v>
      </x:c>
      <x:c r="B153" s="312" t="n">
        <x:v>32211.5</x:v>
      </x:c>
      <x:c r="C153" s="303" t="str">
        <x:v>articles and agent appointment</x:v>
      </x:c>
      <x:c r="D153" s="315" t="str">
        <x:v>G343_0245</x:v>
      </x:c>
      <x:c r="E153" s="303" t="str">
        <x:v>Ohio Secretary of State</x:v>
      </x:c>
      <x:c r="F153" s="303" t="str">
        <x:v>formation and statutory-agent appointment</x:v>
      </x:c>
      <x:c r="G153" s="303" t="str">
        <x:v>Dorothy Snow</x:v>
      </x:c>
      <x:c r="H153" s="303" t="str">
        <x:v>c/o Schwartz, Kelm, Warren &amp; Rubenstein, 41 S. High Street, Suite 2300, Columbus, Ohio 43215</x:v>
      </x:c>
      <x:c r="I153" s="303" t="str">
        <x:v>primary_image_confirmed</x:v>
      </x:c>
      <x:c r="J153" s="303" t="str">
        <x:v>Snow signed as incorporator and accepted appointment as agent; 750 no-par common shares authorized</x:v>
      </x:c>
      <x:c r="K153" s="303" t="str">
        <x:v>Corporate filing is not a property record; no parcel, deed, shareholder, or beneficial owner is identified.</x:v>
      </x:c>
    </x:row>
    <x:row r="154" ht="58" customHeight="1">
      <x:c r="A154" s="303" t="str">
        <x:v>TANDEM INVESTMENTS INCORPORATED</x:v>
      </x:c>
      <x:c r="B154" s="312" t="n">
        <x:v>32505.5</x:v>
      </x:c>
      <x:c r="C154" s="303" t="str">
        <x:v>certificate of dissolution</x:v>
      </x:c>
      <x:c r="D154" s="315" t="str">
        <x:v>G532_1222;OH-SOS:728764:G532_0974</x:v>
      </x:c>
      <x:c r="E154" s="303" t="str">
        <x:v>Ohio Secretary of State</x:v>
      </x:c>
      <x:c r="F154" s="303" t="str">
        <x:v>dissolution and officer/director roster</x:v>
      </x:c>
      <x:c r="G154" s="303" t="str">
        <x:v>Stanley Schwartz, Jr.; Richard W. Rubenstein; Dorothy Snow</x:v>
      </x:c>
      <x:c r="H154" s="303" t="str">
        <x:v>41 S. High Street, 23rd Floor, Columbus, Ohio 43215</x:v>
      </x:c>
      <x:c r="I154" s="303" t="str">
        <x:v>primary_image_confirmed</x:v>
      </x:c>
      <x:c r="J154" s="303" t="str">
        <x:v>Dissolution was authorized by an unnamed sole shareholder and signed by Rubenstein and Snow</x:v>
      </x:c>
      <x:c r="K154" s="303" t="str">
        <x:v>Affidavit says no personal property in Ohio; it does not address real estate. No asset recipient is identified. Argotron G532_0974 p.7 establishes inclusion in a 46-company administrative dissolution batch; it does not establish common ownership, common control, a shared property portfolio, or beneficial ownership.</x:v>
      </x:c>
    </x:row>
    <x:row r="155" ht="58" customHeight="1">
      <x:c r="A155" s="303" t="str">
        <x:v>VILLAGE ACRES, INC.</x:v>
      </x:c>
      <x:c r="B155" s="312" t="n">
        <x:v>32211.5</x:v>
      </x:c>
      <x:c r="C155" s="303" t="str">
        <x:v>articles and agent appointment</x:v>
      </x:c>
      <x:c r="D155" s="315" t="str">
        <x:v>G343_0259</x:v>
      </x:c>
      <x:c r="E155" s="303" t="str">
        <x:v>Ohio Secretary of State</x:v>
      </x:c>
      <x:c r="F155" s="303" t="str">
        <x:v>formation and statutory-agent appointment</x:v>
      </x:c>
      <x:c r="G155" s="303" t="str">
        <x:v>Dorothy Snow</x:v>
      </x:c>
      <x:c r="H155" s="303" t="str">
        <x:v>c/o Schwartz, Kelm, Warren &amp; Rubenstein, 41 S. High Street, Suite 2300, Columbus, Ohio 43215</x:v>
      </x:c>
      <x:c r="I155" s="303" t="str">
        <x:v>primary_image_confirmed</x:v>
      </x:c>
      <x:c r="J155" s="303" t="str">
        <x:v>Snow signed as incorporator and accepted appointment as agent; 750 no-par common shares authorized</x:v>
      </x:c>
      <x:c r="K155" s="303" t="str">
        <x:v>Corporate filing is not a property record; no parcel, deed, shareholder, or beneficial owner is identified.</x:v>
      </x:c>
    </x:row>
    <x:row r="156" ht="58" customHeight="1">
      <x:c r="A156" s="303" t="str">
        <x:v>VILLAGE ACRES, INC.</x:v>
      </x:c>
      <x:c r="B156" s="312" t="n">
        <x:v>32505.5</x:v>
      </x:c>
      <x:c r="C156" s="303" t="str">
        <x:v>certificate of dissolution</x:v>
      </x:c>
      <x:c r="D156" s="315" t="str">
        <x:v>G532_1240;OH-SOS:728764:G532_0974</x:v>
      </x:c>
      <x:c r="E156" s="303" t="str">
        <x:v>Ohio Secretary of State</x:v>
      </x:c>
      <x:c r="F156" s="303" t="str">
        <x:v>dissolution and officer/director roster</x:v>
      </x:c>
      <x:c r="G156" s="303" t="str">
        <x:v>Stanley Schwartz, Jr.; Richard W. Rubenstein; Dorothy Snow</x:v>
      </x:c>
      <x:c r="H156" s="303" t="str">
        <x:v>41 S. High Street, 23rd Floor, Columbus, Ohio 43215</x:v>
      </x:c>
      <x:c r="I156" s="303" t="str">
        <x:v>primary_image_confirmed</x:v>
      </x:c>
      <x:c r="J156" s="303" t="str">
        <x:v>Dissolution was authorized by an unnamed sole shareholder and signed by Rubenstein and Snow</x:v>
      </x:c>
      <x:c r="K156" s="303" t="str">
        <x:v>Affidavit says no personal property in Ohio; it does not address real estate. No asset recipient is identified. Argotron G532_0974 p.7 establishes inclusion in a 46-company administrative dissolution batch; it does not establish common ownership, common control, a shared property portfolio, or beneficial ownership.</x:v>
      </x:c>
    </x:row>
    <x:row r="157" ht="58" customHeight="1">
      <x:c r="A157" s="303" t="str">
        <x:v>Bluffton Holding Corporation</x:v>
      </x:c>
      <x:c r="B157" s="312" t="n">
        <x:v>32276.5</x:v>
      </x:c>
      <x:c r="C157" s="303" t="str">
        <x:v>domestic articles</x:v>
      </x:c>
      <x:c r="D157" s="315" t="str">
        <x:v>G379_0198</x:v>
      </x:c>
      <x:c r="E157" s="303" t="str">
        <x:v>Ohio Secretary of State</x:v>
      </x:c>
      <x:c r="F157" s="303" t="str">
        <x:v>Formation and original statutory-agent appointment</x:v>
      </x:c>
      <x:c r="G157" s="303" t="str">
        <x:v>Dorothy Snow</x:v>
      </x:c>
      <x:c r="H157" s="303" t="str">
        <x:v>41 S High St., Suite 2300, Columbus, OH 43215</x:v>
      </x:c>
      <x:c r="I157" s="303" t="str">
        <x:v>primary_image_confirmed</x:v>
      </x:c>
      <x:c r="J157" s="303" t="str">
        <x:v>Snow was incorporator and original statutory agent</x:v>
      </x:c>
      <x:c r="K157" s="303" t="str">
        <x:v>The articles identify no officers, directors, shareholders, parcel, Epstein, or Wexner.</x:v>
      </x:c>
    </x:row>
    <x:row r="158" ht="58" customHeight="1">
      <x:c r="A158" s="303" t="str">
        <x:v>Bluffton Holding Corporation</x:v>
      </x:c>
      <x:c r="B158" s="312" t="n">
        <x:v>35062.5</x:v>
      </x:c>
      <x:c r="C158" s="303" t="str">
        <x:v>merged-out status packet</x:v>
      </x:c>
      <x:c r="D158" s="315" t="str">
        <x:v>5422_1200</x:v>
      </x:c>
      <x:c r="E158" s="303" t="str">
        <x:v>Ohio Secretary of State</x:v>
      </x:c>
      <x:c r="F158" s="303" t="str">
        <x:v>MEX certificate and later processing statement</x:v>
      </x:c>
      <x:c r="G158" s="303" t="str">
        <x:v>New Albany Company; W. W. Vaughn III</x:v>
      </x:c>
      <x:c r="H158" s="303" t="str">
        <x:v>5906 E Dublin-Granville Rd., New Albany, OH 43054</x:v>
      </x:c>
      <x:c r="I158" s="303" t="str">
        <x:v>primary_image_confirmed</x:v>
      </x:c>
      <x:c r="J158" s="303" t="str">
        <x:v>Packet confirms merged-out status and routes the status document to New Albany Company</x:v>
      </x:c>
      <x:c r="K158" s="303" t="str">
        <x:v>The three-page packet names no survivor or other constituent; a return recipient is not ownership or merger-party proof.</x:v>
      </x:c>
    </x:row>
    <x:row r="159" ht="58" customHeight="1">
      <x:c r="A159" s="303" t="str">
        <x:v>Diamond Development Company</x:v>
      </x:c>
      <x:c r="B159" s="312" t="n">
        <x:v>32276.5</x:v>
      </x:c>
      <x:c r="C159" s="303" t="str">
        <x:v>domestic articles</x:v>
      </x:c>
      <x:c r="D159" s="315" t="str">
        <x:v>G379_0205</x:v>
      </x:c>
      <x:c r="E159" s="303" t="str">
        <x:v>Ohio Secretary of State</x:v>
      </x:c>
      <x:c r="F159" s="303" t="str">
        <x:v>Formation and original statutory-agent appointment</x:v>
      </x:c>
      <x:c r="G159" s="303" t="str">
        <x:v>Dorothy Snow</x:v>
      </x:c>
      <x:c r="H159" s="303" t="str">
        <x:v>41 S High St., Suite 2300, Columbus, OH 43215</x:v>
      </x:c>
      <x:c r="I159" s="303" t="str">
        <x:v>primary_image_confirmed</x:v>
      </x:c>
      <x:c r="J159" s="303" t="str">
        <x:v>Snow was incorporator and original statutory agent</x:v>
      </x:c>
      <x:c r="K159" s="303" t="str">
        <x:v>The articles identify no officers, directors, shareholders, parcel, Epstein, or Wexner.</x:v>
      </x:c>
    </x:row>
    <x:row r="160" ht="58" customHeight="1">
      <x:c r="A160" s="303" t="str">
        <x:v>Diamond Development Company</x:v>
      </x:c>
      <x:c r="B160" s="312" t="n">
        <x:v>32505.5</x:v>
      </x:c>
      <x:c r="C160" s="303" t="str">
        <x:v>domestic dissolution</x:v>
      </x:c>
      <x:c r="D160" s="315" t="str">
        <x:v>G532_1024;OH-SOS:728764:G532_0974</x:v>
      </x:c>
      <x:c r="E160" s="303" t="str">
        <x:v>Ohio Secretary of State</x:v>
      </x:c>
      <x:c r="F160" s="303" t="str">
        <x:v>Dissolution authorized by unnamed sole shareholder</x:v>
      </x:c>
      <x:c r="G160" s="303" t="str">
        <x:v>Stanley Schwartz Jr.; Richard W. Rubenstein; Dorothy Snow</x:v>
      </x:c>
      <x:c r="H160" s="303" t="str">
        <x:v>41 S High St., 23rd Floor, Columbus, OH 43215</x:v>
      </x:c>
      <x:c r="I160" s="303" t="str">
        <x:v>primary_image_confirmed</x:v>
      </x:c>
      <x:c r="J160" s="303" t="str">
        <x:v>Packet identifies the officer/director roster and dissolution</x:v>
      </x:c>
      <x:c r="K160"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61" ht="58" customHeight="1">
      <x:c r="A161" s="303" t="str">
        <x:v>Doncaster Development, Inc.</x:v>
      </x:c>
      <x:c r="B161" s="312" t="n">
        <x:v>32276.5</x:v>
      </x:c>
      <x:c r="C161" s="303" t="str">
        <x:v>domestic articles</x:v>
      </x:c>
      <x:c r="D161" s="315" t="str">
        <x:v>G379_0211</x:v>
      </x:c>
      <x:c r="E161" s="303" t="str">
        <x:v>Ohio Secretary of State</x:v>
      </x:c>
      <x:c r="F161" s="303" t="str">
        <x:v>Formation and original statutory-agent appointment</x:v>
      </x:c>
      <x:c r="G161" s="303" t="str">
        <x:v>Dorothy Snow</x:v>
      </x:c>
      <x:c r="H161" s="303" t="str">
        <x:v>41 S High St., Suite 2300, Columbus, OH 43215</x:v>
      </x:c>
      <x:c r="I161" s="303" t="str">
        <x:v>primary_image_confirmed</x:v>
      </x:c>
      <x:c r="J161" s="303" t="str">
        <x:v>Snow was incorporator and original statutory agent</x:v>
      </x:c>
      <x:c r="K161" s="303" t="str">
        <x:v>The articles identify no officers, directors, shareholders, parcel, Epstein, or Wexner.</x:v>
      </x:c>
    </x:row>
    <x:row r="162" ht="58" customHeight="1">
      <x:c r="A162" s="303" t="str">
        <x:v>Doncaster Development, Inc.</x:v>
      </x:c>
      <x:c r="B162" s="312" t="n">
        <x:v>32505.5</x:v>
      </x:c>
      <x:c r="C162" s="303" t="str">
        <x:v>domestic dissolution</x:v>
      </x:c>
      <x:c r="D162" s="315" t="str">
        <x:v>G532_1030;OH-SOS:728764:G532_0974</x:v>
      </x:c>
      <x:c r="E162" s="303" t="str">
        <x:v>Ohio Secretary of State</x:v>
      </x:c>
      <x:c r="F162" s="303" t="str">
        <x:v>Dissolution authorized by unnamed sole shareholder</x:v>
      </x:c>
      <x:c r="G162" s="303" t="str">
        <x:v>Stanley Schwartz Jr.; Richard W. Rubenstein; Dorothy Snow</x:v>
      </x:c>
      <x:c r="H162" s="303" t="str">
        <x:v>41 S High St., 23rd Floor, Columbus, OH 43215</x:v>
      </x:c>
      <x:c r="I162" s="303" t="str">
        <x:v>primary_image_confirmed</x:v>
      </x:c>
      <x:c r="J162" s="303" t="str">
        <x:v>Packet identifies the officer/director roster and dissolution</x:v>
      </x:c>
      <x:c r="K162"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63" ht="58" customHeight="1">
      <x:c r="A163" s="303" t="str">
        <x:v>Farmington Developers, Inc.</x:v>
      </x:c>
      <x:c r="B163" s="312" t="n">
        <x:v>32276.5</x:v>
      </x:c>
      <x:c r="C163" s="303" t="str">
        <x:v>domestic articles</x:v>
      </x:c>
      <x:c r="D163" s="315" t="str">
        <x:v>G379_0223</x:v>
      </x:c>
      <x:c r="E163" s="303" t="str">
        <x:v>Ohio Secretary of State</x:v>
      </x:c>
      <x:c r="F163" s="303" t="str">
        <x:v>Formation and original statutory-agent appointment</x:v>
      </x:c>
      <x:c r="G163" s="303" t="str">
        <x:v>Dorothy Snow</x:v>
      </x:c>
      <x:c r="H163" s="303" t="str">
        <x:v>41 S High St., Suite 2300, Columbus, OH 43215</x:v>
      </x:c>
      <x:c r="I163" s="303" t="str">
        <x:v>primary_image_confirmed</x:v>
      </x:c>
      <x:c r="J163" s="303" t="str">
        <x:v>Snow was incorporator and original statutory agent</x:v>
      </x:c>
      <x:c r="K163" s="303" t="str">
        <x:v>The articles identify no officers, directors, shareholders, parcel, Epstein, or Wexner.</x:v>
      </x:c>
    </x:row>
    <x:row r="164" ht="58" customHeight="1">
      <x:c r="A164" s="303" t="str">
        <x:v>Farmington Developers, Inc.</x:v>
      </x:c>
      <x:c r="B164" s="312" t="n">
        <x:v>32505.5</x:v>
      </x:c>
      <x:c r="C164" s="303" t="str">
        <x:v>domestic dissolution</x:v>
      </x:c>
      <x:c r="D164" s="315" t="str">
        <x:v>G532_1042;OH-SOS:728764:G532_0974</x:v>
      </x:c>
      <x:c r="E164" s="303" t="str">
        <x:v>Ohio Secretary of State</x:v>
      </x:c>
      <x:c r="F164" s="303" t="str">
        <x:v>Dissolution authorized by unnamed sole shareholder</x:v>
      </x:c>
      <x:c r="G164" s="303" t="str">
        <x:v>Stanley Schwartz Jr.; Richard W. Rubenstein; Dorothy Snow</x:v>
      </x:c>
      <x:c r="H164" s="303" t="str">
        <x:v>41 S High St., 23rd Floor, Columbus, OH 43215</x:v>
      </x:c>
      <x:c r="I164" s="303" t="str">
        <x:v>primary_image_confirmed</x:v>
      </x:c>
      <x:c r="J164" s="303" t="str">
        <x:v>Packet identifies the officer/director roster and dissolution</x:v>
      </x:c>
      <x:c r="K164"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65" ht="58" customHeight="1">
      <x:c r="A165" s="303" t="str">
        <x:v>Melleric Corporation</x:v>
      </x:c>
      <x:c r="B165" s="312" t="n">
        <x:v>32276.5</x:v>
      </x:c>
      <x:c r="C165" s="303" t="str">
        <x:v>domestic articles</x:v>
      </x:c>
      <x:c r="D165" s="315" t="str">
        <x:v>G379_0241</x:v>
      </x:c>
      <x:c r="E165" s="303" t="str">
        <x:v>Ohio Secretary of State</x:v>
      </x:c>
      <x:c r="F165" s="303" t="str">
        <x:v>Formation and original statutory-agent appointment</x:v>
      </x:c>
      <x:c r="G165" s="303" t="str">
        <x:v>Dorothy Snow</x:v>
      </x:c>
      <x:c r="H165" s="303" t="str">
        <x:v>41 S High St., Suite 2300, Columbus, OH 43215</x:v>
      </x:c>
      <x:c r="I165" s="303" t="str">
        <x:v>primary_image_confirmed</x:v>
      </x:c>
      <x:c r="J165" s="303" t="str">
        <x:v>Snow was incorporator and original statutory agent</x:v>
      </x:c>
      <x:c r="K165" s="303" t="str">
        <x:v>The articles identify no officers, directors, shareholders, parcel, Epstein, or Wexner.</x:v>
      </x:c>
    </x:row>
    <x:row r="166" ht="58" customHeight="1">
      <x:c r="A166" s="303" t="str">
        <x:v>Melleric Corporation</x:v>
      </x:c>
      <x:c r="B166" s="312" t="n">
        <x:v>32505.5</x:v>
      </x:c>
      <x:c r="C166" s="303" t="str">
        <x:v>domestic dissolution</x:v>
      </x:c>
      <x:c r="D166" s="315" t="str">
        <x:v>G532_1138;OH-SOS:728764:G532_0974</x:v>
      </x:c>
      <x:c r="E166" s="303" t="str">
        <x:v>Ohio Secretary of State</x:v>
      </x:c>
      <x:c r="F166" s="303" t="str">
        <x:v>Dissolution authorized by unnamed sole shareholder</x:v>
      </x:c>
      <x:c r="G166" s="303" t="str">
        <x:v>Stanley Schwartz Jr.; Richard W. Rubenstein; Dorothy Snow</x:v>
      </x:c>
      <x:c r="H166" s="303" t="str">
        <x:v>41 S High St., 23rd Floor, Columbus, OH 43215</x:v>
      </x:c>
      <x:c r="I166" s="303" t="str">
        <x:v>primary_image_confirmed</x:v>
      </x:c>
      <x:c r="J166" s="303" t="str">
        <x:v>Packet identifies the officer/director roster and dissolution</x:v>
      </x:c>
      <x:c r="K166"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67" ht="58" customHeight="1">
      <x:c r="A167" s="303" t="str">
        <x:v>Union Holding Corporation</x:v>
      </x:c>
      <x:c r="B167" s="312" t="n">
        <x:v>32276.5</x:v>
      </x:c>
      <x:c r="C167" s="303" t="str">
        <x:v>domestic articles</x:v>
      </x:c>
      <x:c r="D167" s="315" t="str">
        <x:v>G379_0253</x:v>
      </x:c>
      <x:c r="E167" s="303" t="str">
        <x:v>Ohio Secretary of State</x:v>
      </x:c>
      <x:c r="F167" s="303" t="str">
        <x:v>Formation and original statutory-agent appointment</x:v>
      </x:c>
      <x:c r="G167" s="303" t="str">
        <x:v>Dorothy Snow</x:v>
      </x:c>
      <x:c r="H167" s="303" t="str">
        <x:v>41 S High St., Suite 2300, Columbus, OH 43215</x:v>
      </x:c>
      <x:c r="I167" s="303" t="str">
        <x:v>primary_image_confirmed</x:v>
      </x:c>
      <x:c r="J167" s="303" t="str">
        <x:v>Snow was incorporator and original statutory agent</x:v>
      </x:c>
      <x:c r="K167" s="303" t="str">
        <x:v>The articles identify no officers, directors, shareholders, parcel, Epstein, or Wexner.</x:v>
      </x:c>
    </x:row>
    <x:row r="168" ht="58" customHeight="1">
      <x:c r="A168" s="303" t="str">
        <x:v>Union Holding Corporation</x:v>
      </x:c>
      <x:c r="B168" s="312" t="n">
        <x:v>35062.5</x:v>
      </x:c>
      <x:c r="C168" s="303" t="str">
        <x:v>merged-out status packet</x:v>
      </x:c>
      <x:c r="D168" s="315" t="str">
        <x:v>5422_1206</x:v>
      </x:c>
      <x:c r="E168" s="303" t="str">
        <x:v>Ohio Secretary of State</x:v>
      </x:c>
      <x:c r="F168" s="303" t="str">
        <x:v>MEX certificate and later processing statement</x:v>
      </x:c>
      <x:c r="G168" s="303" t="str">
        <x:v>New Albany Company; W. W. Vaughn III</x:v>
      </x:c>
      <x:c r="H168" s="303" t="str">
        <x:v>5906 E Dublin-Granville Rd., New Albany, OH 43054</x:v>
      </x:c>
      <x:c r="I168" s="303" t="str">
        <x:v>primary_image_confirmed</x:v>
      </x:c>
      <x:c r="J168" s="303" t="str">
        <x:v>Packet confirms merged-out status and routes the status document to New Albany Company</x:v>
      </x:c>
      <x:c r="K168" s="303" t="str">
        <x:v>The three-page packet names no survivor or other constituent; a return recipient is not ownership or merger-party proof.</x:v>
      </x:c>
    </x:row>
    <x:row r="169" ht="58" customHeight="1">
      <x:c r="A169" s="303" t="str">
        <x:v>Jetner Corporation</x:v>
      </x:c>
      <x:c r="B169" s="312" t="n">
        <x:v>32379.5</x:v>
      </x:c>
      <x:c r="C169" s="303" t="str">
        <x:v>domestic articles</x:v>
      </x:c>
      <x:c r="D169" s="315" t="str">
        <x:v>G456_0331</x:v>
      </x:c>
      <x:c r="E169" s="303" t="str">
        <x:v>Ohio Secretary of State</x:v>
      </x:c>
      <x:c r="F169" s="303" t="str">
        <x:v>Formation and original statutory-agent appointment</x:v>
      </x:c>
      <x:c r="G169" s="303" t="str">
        <x:v>Dorothy Snow</x:v>
      </x:c>
      <x:c r="H169" s="303" t="str">
        <x:v>41 S High St., Suite 2300, Columbus, OH 43215</x:v>
      </x:c>
      <x:c r="I169" s="303" t="str">
        <x:v>primary_image_confirmed</x:v>
      </x:c>
      <x:c r="J169" s="303" t="str">
        <x:v>Snow signed as incorporator on 1988-08-23 and accepted as original statutory agent</x:v>
      </x:c>
      <x:c r="K169" s="303" t="str">
        <x:v>The articles identify no officers, directors, shareholders, parcel, Epstein, or Wexner.</x:v>
      </x:c>
    </x:row>
    <x:row r="170" ht="58" customHeight="1">
      <x:c r="A170" s="303" t="str">
        <x:v>Jetner Corporation</x:v>
      </x:c>
      <x:c r="B170" s="312" t="n">
        <x:v>32505.5</x:v>
      </x:c>
      <x:c r="C170" s="303" t="str">
        <x:v>domestic dissolution</x:v>
      </x:c>
      <x:c r="D170" s="315" t="str">
        <x:v>G532_1114;OH-SOS:728764:G532_0974</x:v>
      </x:c>
      <x:c r="E170" s="303" t="str">
        <x:v>Ohio Secretary of State</x:v>
      </x:c>
      <x:c r="F170" s="303" t="str">
        <x:v>Dissolution authorized by unnamed sole shareholder</x:v>
      </x:c>
      <x:c r="G170" s="303" t="str">
        <x:v>Stanley Schwartz, Jr.; Richard W. Rubenstein; Dorothy Snow</x:v>
      </x:c>
      <x:c r="H170" s="303" t="str">
        <x:v>41 S High St., 23rd Floor, Columbus, OH 43215</x:v>
      </x:c>
      <x:c r="I170" s="303" t="str">
        <x:v>primary_image_confirmed</x:v>
      </x:c>
      <x:c r="J170" s="303" t="str">
        <x:v>Packet identifies Schwartz and Rubenstein as directors; Snow is secretary but not listed as a director</x:v>
      </x:c>
      <x:c r="K170"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1" ht="58" customHeight="1">
      <x:c r="A171" s="303" t="str">
        <x:v>Mentin Products, Inc.</x:v>
      </x:c>
      <x:c r="B171" s="312" t="n">
        <x:v>32379.5</x:v>
      </x:c>
      <x:c r="C171" s="303" t="str">
        <x:v>domestic articles</x:v>
      </x:c>
      <x:c r="D171" s="315" t="str">
        <x:v>G456_0338</x:v>
      </x:c>
      <x:c r="E171" s="303" t="str">
        <x:v>Ohio Secretary of State</x:v>
      </x:c>
      <x:c r="F171" s="303" t="str">
        <x:v>Formation and original statutory-agent appointment</x:v>
      </x:c>
      <x:c r="G171" s="303" t="str">
        <x:v>Dorothy Snow</x:v>
      </x:c>
      <x:c r="H171" s="303" t="str">
        <x:v>41 S High St., Suite 2300, Columbus, OH 43215</x:v>
      </x:c>
      <x:c r="I171" s="303" t="str">
        <x:v>primary_image_confirmed</x:v>
      </x:c>
      <x:c r="J171" s="303" t="str">
        <x:v>Snow signed as incorporator on 1988-08-23 and accepted as original statutory agent</x:v>
      </x:c>
      <x:c r="K171" s="303" t="str">
        <x:v>The articles identify no officers, directors, shareholders, parcel, Epstein, or Wexner.</x:v>
      </x:c>
    </x:row>
    <x:row r="172" ht="58" customHeight="1">
      <x:c r="A172" s="303" t="str">
        <x:v>Mentin Products, Inc.</x:v>
      </x:c>
      <x:c r="B172" s="312" t="n">
        <x:v>32505.5</x:v>
      </x:c>
      <x:c r="C172" s="303" t="str">
        <x:v>domestic dissolution</x:v>
      </x:c>
      <x:c r="D172" s="315" t="str">
        <x:v>G532_1144;OH-SOS:728764:G532_0974</x:v>
      </x:c>
      <x:c r="E172" s="303" t="str">
        <x:v>Ohio Secretary of State</x:v>
      </x:c>
      <x:c r="F172" s="303" t="str">
        <x:v>Dissolution authorized by unnamed sole shareholder</x:v>
      </x:c>
      <x:c r="G172" s="303" t="str">
        <x:v>Stanley Schwartz, Jr.; Richard W. Rubenstein; Dorothy Snow</x:v>
      </x:c>
      <x:c r="H172" s="303" t="str">
        <x:v>41 S High St., 23rd Floor, Columbus, OH 43215</x:v>
      </x:c>
      <x:c r="I172" s="303" t="str">
        <x:v>primary_image_confirmed</x:v>
      </x:c>
      <x:c r="J172" s="303" t="str">
        <x:v>Packet identifies Schwartz and Rubenstein as directors; Snow is secretary but not listed as a director</x:v>
      </x:c>
      <x:c r="K172"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3" ht="58" customHeight="1">
      <x:c r="A173" s="303" t="str">
        <x:v>Chatten Marketing Company</x:v>
      </x:c>
      <x:c r="B173" s="312" t="n">
        <x:v>32379.5</x:v>
      </x:c>
      <x:c r="C173" s="303" t="str">
        <x:v>domestic articles</x:v>
      </x:c>
      <x:c r="D173" s="315" t="str">
        <x:v>G456_0344</x:v>
      </x:c>
      <x:c r="E173" s="303" t="str">
        <x:v>Ohio Secretary of State</x:v>
      </x:c>
      <x:c r="F173" s="303" t="str">
        <x:v>Formation and original statutory-agent appointment</x:v>
      </x:c>
      <x:c r="G173" s="303" t="str">
        <x:v>Dorothy Snow</x:v>
      </x:c>
      <x:c r="H173" s="303" t="str">
        <x:v>41 S High St., Suite 2300, Columbus, OH 43215</x:v>
      </x:c>
      <x:c r="I173" s="303" t="str">
        <x:v>primary_image_confirmed</x:v>
      </x:c>
      <x:c r="J173" s="303" t="str">
        <x:v>Snow signed as incorporator on 1988-08-23 and accepted as original statutory agent</x:v>
      </x:c>
      <x:c r="K173" s="303" t="str">
        <x:v>The articles identify no officers, directors, shareholders, parcel, Epstein, or Wexner.</x:v>
      </x:c>
    </x:row>
    <x:row r="174" ht="58" customHeight="1">
      <x:c r="A174" s="303" t="str">
        <x:v>Chatten Marketing Company</x:v>
      </x:c>
      <x:c r="B174" s="312" t="n">
        <x:v>32505.5</x:v>
      </x:c>
      <x:c r="C174" s="303" t="str">
        <x:v>domestic dissolution</x:v>
      </x:c>
      <x:c r="D174" s="315" t="str">
        <x:v>G532_1006;OH-SOS:728764:G532_0974</x:v>
      </x:c>
      <x:c r="E174" s="303" t="str">
        <x:v>Ohio Secretary of State</x:v>
      </x:c>
      <x:c r="F174" s="303" t="str">
        <x:v>Dissolution authorized by unnamed sole shareholder</x:v>
      </x:c>
      <x:c r="G174" s="303" t="str">
        <x:v>Stanley Schwartz, Jr.; Richard W. Rubenstein; Dorothy Snow</x:v>
      </x:c>
      <x:c r="H174" s="303" t="str">
        <x:v>41 S High St., 23rd Floor, Columbus, OH 43215</x:v>
      </x:c>
      <x:c r="I174" s="303" t="str">
        <x:v>primary_image_confirmed</x:v>
      </x:c>
      <x:c r="J174" s="303" t="str">
        <x:v>All six out-of-order pages identify the same dissolution roster and affidavits as the parallel batch</x:v>
      </x:c>
      <x:c r="K174"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5" ht="58" customHeight="1">
      <x:c r="A175" s="303" t="str">
        <x:v>Fantel Products Company</x:v>
      </x:c>
      <x:c r="B175" s="312" t="n">
        <x:v>32379.5</x:v>
      </x:c>
      <x:c r="C175" s="303" t="str">
        <x:v>domestic articles</x:v>
      </x:c>
      <x:c r="D175" s="315" t="str">
        <x:v>G456_0350</x:v>
      </x:c>
      <x:c r="E175" s="303" t="str">
        <x:v>Ohio Secretary of State</x:v>
      </x:c>
      <x:c r="F175" s="303" t="str">
        <x:v>Formation and original statutory-agent appointment</x:v>
      </x:c>
      <x:c r="G175" s="303" t="str">
        <x:v>Dorothy Snow</x:v>
      </x:c>
      <x:c r="H175" s="303" t="str">
        <x:v>41 S High St., Suite 2300, Columbus, OH 43215</x:v>
      </x:c>
      <x:c r="I175" s="303" t="str">
        <x:v>primary_image_confirmed</x:v>
      </x:c>
      <x:c r="J175" s="303" t="str">
        <x:v>Snow signed as incorporator on 1988-08-23 and accepted as original statutory agent</x:v>
      </x:c>
      <x:c r="K175" s="303" t="str">
        <x:v>The articles identify no officers, directors, shareholders, parcel, Epstein, or Wexner.</x:v>
      </x:c>
    </x:row>
    <x:row r="176" ht="58" customHeight="1">
      <x:c r="A176" s="303" t="str">
        <x:v>Fantel Products Company</x:v>
      </x:c>
      <x:c r="B176" s="312" t="n">
        <x:v>32505.5</x:v>
      </x:c>
      <x:c r="C176" s="303" t="str">
        <x:v>domestic dissolution</x:v>
      </x:c>
      <x:c r="D176" s="315" t="str">
        <x:v>G532_1036;OH-SOS:728764:G532_0974</x:v>
      </x:c>
      <x:c r="E176" s="303" t="str">
        <x:v>Ohio Secretary of State</x:v>
      </x:c>
      <x:c r="F176" s="303" t="str">
        <x:v>Dissolution authorized by unnamed sole shareholder</x:v>
      </x:c>
      <x:c r="G176" s="303" t="str">
        <x:v>Stanley Schwartz, Jr.; Richard W. Rubenstein; Dorothy Snow</x:v>
      </x:c>
      <x:c r="H176" s="303" t="str">
        <x:v>41 S High St., 23rd Floor, Columbus, OH 43215</x:v>
      </x:c>
      <x:c r="I176" s="303" t="str">
        <x:v>primary_image_confirmed</x:v>
      </x:c>
      <x:c r="J176" s="303" t="str">
        <x:v>Packet identifies Schwartz and Rubenstein as directors; Snow is secretary but not listed as a director</x:v>
      </x:c>
      <x:c r="K176"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7" ht="58" customHeight="1">
      <x:c r="A177" s="303" t="str">
        <x:v>Indico Investments, Inc.</x:v>
      </x:c>
      <x:c r="B177" s="312" t="n">
        <x:v>32379.5</x:v>
      </x:c>
      <x:c r="C177" s="303" t="str">
        <x:v>domestic articles</x:v>
      </x:c>
      <x:c r="D177" s="315" t="str">
        <x:v>G456_0362</x:v>
      </x:c>
      <x:c r="E177" s="303" t="str">
        <x:v>Ohio Secretary of State</x:v>
      </x:c>
      <x:c r="F177" s="303" t="str">
        <x:v>Formation and original statutory-agent appointment</x:v>
      </x:c>
      <x:c r="G177" s="303" t="str">
        <x:v>Dorothy Snow</x:v>
      </x:c>
      <x:c r="H177" s="303" t="str">
        <x:v>41 S High St., Suite 2300, Columbus, OH 43215</x:v>
      </x:c>
      <x:c r="I177" s="303" t="str">
        <x:v>primary_image_confirmed</x:v>
      </x:c>
      <x:c r="J177" s="303" t="str">
        <x:v>Snow signed as incorporator on 1988-08-23 and accepted as original statutory agent</x:v>
      </x:c>
      <x:c r="K177" s="303" t="str">
        <x:v>Investments is a name signal only; the articles identify no specific asset, parcel, shareholder, Epstein, or Wexner.</x:v>
      </x:c>
    </x:row>
    <x:row r="178" ht="58" customHeight="1">
      <x:c r="A178" s="303" t="str">
        <x:v>Indico Investments, Inc.</x:v>
      </x:c>
      <x:c r="B178" s="312" t="n">
        <x:v>32505.5</x:v>
      </x:c>
      <x:c r="C178" s="303" t="str">
        <x:v>domestic dissolution</x:v>
      </x:c>
      <x:c r="D178" s="315" t="str">
        <x:v>G532_1102;OH-SOS:728764:G532_0974</x:v>
      </x:c>
      <x:c r="E178" s="303" t="str">
        <x:v>Ohio Secretary of State</x:v>
      </x:c>
      <x:c r="F178" s="303" t="str">
        <x:v>Dissolution authorized by unnamed sole shareholder</x:v>
      </x:c>
      <x:c r="G178" s="303" t="str">
        <x:v>Stanley Schwartz, Jr.; Richard W. Rubenstein; Dorothy Snow</x:v>
      </x:c>
      <x:c r="H178" s="303" t="str">
        <x:v>41 S High St., 23rd Floor, Columbus, OH 43215</x:v>
      </x:c>
      <x:c r="I178" s="303" t="str">
        <x:v>primary_image_confirmed</x:v>
      </x:c>
      <x:c r="J178" s="303" t="str">
        <x:v>Packet identifies Schwartz and Rubenstein as directors; Snow is secretary but not listed as a director</x:v>
      </x:c>
      <x:c r="K178" s="303" t="str">
        <x:v>The no-personal-property affidavit does not address real estate; no parcel or asset recipient is named. Argotron G532_0974 p.7 establishes inclusion in a 46-company administrative dissolution batch; it does not establish common ownership, common control, a shared property portfolio, or beneficial ownership.</x:v>
      </x:c>
    </x:row>
    <x:row r="179" ht="58" customHeight="1">
      <x:c r="A179" s="303" t="str">
        <x:v>London Kitchens, Inc.</x:v>
      </x:c>
      <x:c r="B179" s="312" t="n">
        <x:v>31694.5</x:v>
      </x:c>
      <x:c r="C179" s="303" t="str">
        <x:v>domestic articles</x:v>
      </x:c>
      <x:c r="D179" s="315" t="str">
        <x:v>G015_1204</x:v>
      </x:c>
      <x:c r="E179" s="303" t="str">
        <x:v>Ohio Secretary of State</x:v>
      </x:c>
      <x:c r="F179" s="303" t="str">
        <x:v>Formation and original statutory-agent appointment</x:v>
      </x:c>
      <x:c r="G179" s="303" t="str">
        <x:v>Gordon W. Brown; Dorothy Snow</x:v>
      </x:c>
      <x:c r="H179" s="303" t="str">
        <x:v>41 S High St., Columbus, OH 43215</x:v>
      </x:c>
      <x:c r="I179" s="303" t="str">
        <x:v>primary_image_confirmed</x:v>
      </x:c>
      <x:c r="J179" s="303" t="str">
        <x:v>Brown was incorporator; Snow was appointed original statutory agent</x:v>
      </x:c>
      <x:c r="K179" s="303" t="str">
        <x:v>The packet identifies no officer, director, shareholder, parcel, Epstein, or Wexner.</x:v>
      </x:c>
    </x:row>
    <x:row r="180" ht="58" customHeight="1">
      <x:c r="A180" s="303" t="str">
        <x:v>London Kitchens, Inc.</x:v>
      </x:c>
      <x:c r="B180" s="312" t="n">
        <x:v>33588.5</x:v>
      </x:c>
      <x:c r="C180" s="303" t="str">
        <x:v>tax cancellation portal row</x:v>
      </x:c>
      <x:c r="D180" s="315" t="str">
        <x:v>000000061029</x:v>
      </x:c>
      <x:c r="E180" s="303" t="str">
        <x:v>Ohio Secretary of State</x:v>
      </x:c>
      <x:c r="F180" s="303" t="str">
        <x:v>Cancelled by Tax Department with notification</x:v>
      </x:c>
      <x:c r="G180" s="303"/>
      <x:c r="H180" s="303"/>
      <x:c r="I180" s="303" t="str">
        <x:v>live_portal_metadata_only_image_unavailable</x:v>
      </x:c>
      <x:c r="J180" s="303" t="str">
        <x:v>Portal records Tax Department cancellation</x:v>
      </x:c>
      <x:c r="K180" s="303" t="str">
        <x:v>No live image; no signer, owner, property disposition, or substantive reason can be extracted.</x:v>
      </x:c>
    </x:row>
    <x:row r="181" ht="58" customHeight="1">
      <x:c r="A181" s="303" t="str">
        <x:v>London Kitchens Insurance Agency, Inc.</x:v>
      </x:c>
      <x:c r="B181" s="312" t="n">
        <x:v>32002.5</x:v>
      </x:c>
      <x:c r="C181" s="303" t="str">
        <x:v>domestic articles</x:v>
      </x:c>
      <x:c r="D181" s="315" t="str">
        <x:v>G222_0344</x:v>
      </x:c>
      <x:c r="E181" s="303" t="str">
        <x:v>Ohio Secretary of State</x:v>
      </x:c>
      <x:c r="F181" s="303" t="str">
        <x:v>Formation and original statutory-agent appointment</x:v>
      </x:c>
      <x:c r="G181" s="303" t="str">
        <x:v>John H. Parker; Dorothy Snow</x:v>
      </x:c>
      <x:c r="H181" s="303" t="str">
        <x:v>41 S High St., Columbus, OH 43215</x:v>
      </x:c>
      <x:c r="I181" s="303" t="str">
        <x:v>primary_image_confirmed</x:v>
      </x:c>
      <x:c r="J181" s="303" t="str">
        <x:v>Parker was incorporator; Snow accepted appointment as statutory agent</x:v>
      </x:c>
      <x:c r="K181" s="303" t="str">
        <x:v>The similar-name consent from London Kitchens does not establish common ownership.</x:v>
      </x:c>
    </x:row>
    <x:row r="182" ht="58" customHeight="1">
      <x:c r="A182" s="303" t="str">
        <x:v>London Kitchens Insurance Agency, Inc.</x:v>
      </x:c>
      <x:c r="B182" s="312" t="n">
        <x:v>32659.5</x:v>
      </x:c>
      <x:c r="C182" s="303" t="str">
        <x:v>dissolution by incorporator</x:v>
      </x:c>
      <x:c r="D182" s="315" t="str">
        <x:v>G636_0276</x:v>
      </x:c>
      <x:c r="E182" s="303" t="str">
        <x:v>Ohio Secretary of State</x:v>
      </x:c>
      <x:c r="F182" s="303" t="str">
        <x:v>Sole incorporator elected dissolution</x:v>
      </x:c>
      <x:c r="G182" s="303" t="str">
        <x:v>John H. Parker; Dorothy Snow</x:v>
      </x:c>
      <x:c r="H182" s="303" t="str">
        <x:v>3910 Groves Rd., Columbus; agent at 41 S High St.</x:v>
      </x:c>
      <x:c r="I182" s="303" t="str">
        <x:v>primary_image_confirmed</x:v>
      </x:c>
      <x:c r="J182" s="303" t="str">
        <x:v>Parker dissolved the corporation as sole incorporator; Snow remained statutory agent</x:v>
      </x:c>
      <x:c r="K182" s="303" t="str">
        <x:v>The form states alternative statutory grounds and does not specify which one applied; no parcel or asset recipient is named.</x:v>
      </x:c>
    </x:row>
    <x:row r="183" ht="58" customHeight="1">
      <x:c r="A183" s="303" t="str">
        <x:v>First Columbus Land Company</x:v>
      </x:c>
      <x:c r="B183" s="312" t="n">
        <x:v>33205.5</x:v>
      </x:c>
      <x:c r="C183" s="303" t="str">
        <x:v>domestic articles</x:v>
      </x:c>
      <x:c r="D183" s="315" t="str">
        <x:v>H016_0917</x:v>
      </x:c>
      <x:c r="E183" s="303" t="str">
        <x:v>Ohio Secretary of State</x:v>
      </x:c>
      <x:c r="F183" s="303" t="str">
        <x:v>Formation and original statutory-agent appointment</x:v>
      </x:c>
      <x:c r="G183" s="303" t="str">
        <x:v>Ted B. Hipsher; Dorothy Snow</x:v>
      </x:c>
      <x:c r="H183" s="303" t="str">
        <x:v>41 S High St., Suite 2300, Columbus, OH 43215</x:v>
      </x:c>
      <x:c r="I183" s="303" t="str">
        <x:v>primary_image_confirmed</x:v>
      </x:c>
      <x:c r="J183" s="303" t="str">
        <x:v>Hipsher was incorporator; Snow was appointed original agent</x:v>
      </x:c>
      <x:c r="K183" s="303" t="str">
        <x:v>Land in the name is not property evidence; the packet identifies no parcel, shareholder, Epstein, or Wexner.</x:v>
      </x:c>
    </x:row>
    <x:row r="184" ht="58" customHeight="1">
      <x:c r="A184" s="303" t="str">
        <x:v>First Columbus Land Company</x:v>
      </x:c>
      <x:c r="B184" s="312" t="n">
        <x:v>34221.5</x:v>
      </x:c>
      <x:c r="C184" s="303" t="str">
        <x:v>continued-existence portal row</x:v>
      </x:c>
      <x:c r="D184" s="315" t="str">
        <x:v>000000695996</x:v>
      </x:c>
      <x:c r="E184" s="303" t="str">
        <x:v>Ohio Secretary of State</x:v>
      </x:c>
      <x:c r="F184" s="303" t="str">
        <x:v>Continued-existence letter</x:v>
      </x:c>
      <x:c r="G184" s="303"/>
      <x:c r="H184" s="303"/>
      <x:c r="I184" s="303" t="str">
        <x:v>live_portal_metadata_only_image_unavailable</x:v>
      </x:c>
      <x:c r="J184" s="303" t="str">
        <x:v>Portal records a continued-existence letter</x:v>
      </x:c>
      <x:c r="K184" s="303" t="str">
        <x:v>No live image; contents cannot be characterized.</x:v>
      </x:c>
    </x:row>
    <x:row r="185" ht="58" customHeight="1">
      <x:c r="A185" s="303" t="str">
        <x:v>First Columbus Land Company</x:v>
      </x:c>
      <x:c r="B185" s="312" t="n">
        <x:v>34318.5</x:v>
      </x:c>
      <x:c r="C185" s="303" t="str">
        <x:v>tax cancellation portal row</x:v>
      </x:c>
      <x:c r="D185" s="315" t="str">
        <x:v>000000695997</x:v>
      </x:c>
      <x:c r="E185" s="303" t="str">
        <x:v>Ohio Secretary of State</x:v>
      </x:c>
      <x:c r="F185" s="303" t="str">
        <x:v>Cancelled by Tax Department with notification</x:v>
      </x:c>
      <x:c r="G185" s="303"/>
      <x:c r="H185" s="303"/>
      <x:c r="I185" s="303" t="str">
        <x:v>live_portal_metadata_only_image_unavailable</x:v>
      </x:c>
      <x:c r="J185" s="303" t="str">
        <x:v>Portal records Tax Department cancellation</x:v>
      </x:c>
      <x:c r="K185" s="303" t="str">
        <x:v>No live image; property disposition and ownership remain unresolved.</x:v>
      </x:c>
    </x:row>
    <x:row r="186" ht="58" customHeight="1">
      <x:c r="A186" s="303" t="str">
        <x:v>BREWHO! LLC</x:v>
      </x:c>
      <x:c r="B186" s="312" t="n">
        <x:v>35710.5</x:v>
      </x:c>
      <x:c r="C186" s="303" t="str">
        <x:v>organization filing portal row</x:v>
      </x:c>
      <x:c r="D186" s="315" t="str">
        <x:v>6162_0568</x:v>
      </x:c>
      <x:c r="E186" s="303" t="str">
        <x:v>Ohio Secretary of State</x:v>
      </x:c>
      <x:c r="F186" s="303" t="str">
        <x:v>Domestic LLC organization</x:v>
      </x:c>
      <x:c r="G186" s="303"/>
      <x:c r="H186" s="303"/>
      <x:c r="I186" s="303" t="str">
        <x:v>live_portal_metadata_only_image_unavailable_http_404</x:v>
      </x:c>
      <x:c r="J186" s="303" t="str">
        <x:v>Portal lists one organization row and active status</x:v>
      </x:c>
      <x:c r="K186" s="303" t="str">
        <x:v>Members, managers, organizer, property, Epstein, and Wexner are all unassessed because the filing image is unavailable.</x:v>
      </x:c>
    </x:row>
    <x:row r="187" ht="58" customHeight="1">
      <x:c r="A187" s="303" t="str">
        <x:v>Oakfield Enterprises, Inc.</x:v>
      </x:c>
      <x:c r="B187" s="312" t="n">
        <x:v>32122.5</x:v>
      </x:c>
      <x:c r="C187" s="303" t="str">
        <x:v>domestic articles</x:v>
      </x:c>
      <x:c r="D187" s="315" t="str">
        <x:v>G288_0306</x:v>
      </x:c>
      <x:c r="E187" s="303" t="str">
        <x:v>Ohio Secretary of State</x:v>
      </x:c>
      <x:c r="F187" s="303" t="str">
        <x:v>Formation and original statutory-agent appointment</x:v>
      </x:c>
      <x:c r="G187" s="303" t="str">
        <x:v>Dorothy Snow; L. Loraditch</x:v>
      </x:c>
      <x:c r="H187" s="303" t="str">
        <x:v>Columbus, Franklin County; c/o SKWR, 41 S. High St., Suite 2300, Columbus, OH 43215</x:v>
      </x:c>
      <x:c r="I187" s="303" t="str">
        <x:v>primary_image_confirmed</x:v>
      </x:c>
      <x:c r="J187" s="303" t="str">
        <x:v>Snow signed as incorporator and original statutory agent; filing return routed to SKWR attention L. Loraditch</x:v>
      </x:c>
      <x:c r="K187" s="303" t="str">
        <x:v>The generic lawful-purpose clause identifies no officer, director, shareholder, parcel, Epstein, or Wexner.</x:v>
      </x:c>
    </x:row>
    <x:row r="188" ht="58" customHeight="1">
      <x:c r="A188" s="303" t="str">
        <x:v>Oakfield Enterprises, Inc.</x:v>
      </x:c>
      <x:c r="B188" s="312" t="n">
        <x:v>32505.5</x:v>
      </x:c>
      <x:c r="C188" s="303" t="str">
        <x:v>domestic dissolution</x:v>
      </x:c>
      <x:c r="D188" s="315" t="str">
        <x:v>G532_1168;OH-SOS:728764:G532_0974</x:v>
      </x:c>
      <x:c r="E188" s="303" t="str">
        <x:v>Ohio Secretary of State</x:v>
      </x:c>
      <x:c r="F188" s="303" t="str">
        <x:v>Dissolution executed 1988-12-22 and filed 1988-12-28</x:v>
      </x:c>
      <x:c r="G188" s="303" t="str">
        <x:v>Stanley Schwartz, Jr.; Richard W. Rubenstein; Dorothy Snow; unnamed sole shareholder</x:v>
      </x:c>
      <x:c r="H188" s="303" t="str">
        <x:v>SKWR, 41 S. High St., 23rd Floor, Columbus, OH 43215</x:v>
      </x:c>
      <x:c r="I188" s="303" t="str">
        <x:v>primary_image_confirmed</x:v>
      </x:c>
      <x:c r="J188" s="303" t="str">
        <x:v>Schwartz was chairman/president, Rubenstein vice president/treasurer, and Snow secretary; no separately labeled director list appears; the sole shareholder was unnamed</x:v>
      </x:c>
      <x:c r="K188" s="303"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89" ht="58" customHeight="1">
      <x:c r="A189" s="303" t="str">
        <x:v>Wildwood Acres, Inc.</x:v>
      </x:c>
      <x:c r="B189" s="312" t="n">
        <x:v>32122.5</x:v>
      </x:c>
      <x:c r="C189" s="303" t="str">
        <x:v>domestic articles</x:v>
      </x:c>
      <x:c r="D189" s="315" t="str">
        <x:v>G288_0318</x:v>
      </x:c>
      <x:c r="E189" s="303" t="str">
        <x:v>Ohio Secretary of State</x:v>
      </x:c>
      <x:c r="F189" s="303" t="str">
        <x:v>Formation and original statutory-agent appointment</x:v>
      </x:c>
      <x:c r="G189" s="303" t="str">
        <x:v>Dorothy Snow; L. Loraditch</x:v>
      </x:c>
      <x:c r="H189" s="303" t="str">
        <x:v>Columbus, Franklin County; c/o SKWR, 41 S. High St., Suite 2300, Columbus, OH 43215</x:v>
      </x:c>
      <x:c r="I189" s="303" t="str">
        <x:v>primary_image_confirmed</x:v>
      </x:c>
      <x:c r="J189" s="303" t="str">
        <x:v>Snow signed as incorporator and original statutory agent; filing return routed to SKWR attention L. Loraditch</x:v>
      </x:c>
      <x:c r="K189" s="303" t="str">
        <x:v>The generic lawful-purpose clause identifies no officer, director, shareholder, parcel, Epstein, or Wexner.</x:v>
      </x:c>
    </x:row>
    <x:row r="190" ht="58" customHeight="1">
      <x:c r="A190" s="303" t="str">
        <x:v>Wildwood Acres, Inc.</x:v>
      </x:c>
      <x:c r="B190" s="312" t="n">
        <x:v>32505.5</x:v>
      </x:c>
      <x:c r="C190" s="303" t="str">
        <x:v>domestic dissolution</x:v>
      </x:c>
      <x:c r="D190" s="315" t="str">
        <x:v>G532_1252;OH-SOS:728764:G532_0974</x:v>
      </x:c>
      <x:c r="E190" s="303" t="str">
        <x:v>Ohio Secretary of State</x:v>
      </x:c>
      <x:c r="F190" s="303" t="str">
        <x:v>Dissolution executed 1988-12-22 and filed 1988-12-28</x:v>
      </x:c>
      <x:c r="G190" s="303" t="str">
        <x:v>Stanley Schwartz, Jr.; Richard W. Rubenstein; Dorothy Snow; Kenneth S. Warren; unnamed sole shareholder</x:v>
      </x:c>
      <x:c r="H190" s="303" t="str">
        <x:v>SKWR, 41 S. High St., 23rd Floor, Columbus, OH 43215</x:v>
      </x:c>
      <x:c r="I190" s="303" t="str">
        <x:v>primary_image_confirmed</x:v>
      </x:c>
      <x:c r="J190" s="303" t="str">
        <x:v>Schwartz was chairman/president, Rubenstein vice president/treasurer, Snow secretary, and the separately labeled directors were Schwartz, Warren, and Rubenstein; the sole shareholder was unnamed</x:v>
      </x:c>
      <x:c r="K190" s="303"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91" ht="58" customHeight="1">
      <x:c r="A191" s="303" t="str">
        <x:v>Cristah Corporation</x:v>
      </x:c>
      <x:c r="B191" s="312" t="n">
        <x:v>32409.5</x:v>
      </x:c>
      <x:c r="C191" s="303" t="str">
        <x:v>domestic articles</x:v>
      </x:c>
      <x:c r="D191" s="315" t="str">
        <x:v>G472_1825</x:v>
      </x:c>
      <x:c r="E191" s="303" t="str">
        <x:v>Ohio Secretary of State</x:v>
      </x:c>
      <x:c r="F191" s="303" t="str">
        <x:v>Formation and original statutory-agent appointment</x:v>
      </x:c>
      <x:c r="G191" s="303" t="str">
        <x:v>Dorothy Snow; Leni Loraditch</x:v>
      </x:c>
      <x:c r="H191" s="303" t="str">
        <x:v>Columbus, Franklin County; c/o SKWR, 41 S. High St., Suite 2300, Columbus, OH 43215</x:v>
      </x:c>
      <x:c r="I191" s="303" t="str">
        <x:v>primary_image_confirmed</x:v>
      </x:c>
      <x:c r="J191" s="303" t="str">
        <x:v>Snow signed as incorporator and original statutory agent; a correspondence card identifies Leni Loraditch as SKWR legal assistant</x:v>
      </x:c>
      <x:c r="K191" s="303" t="str">
        <x:v>The packet identifies CRISTAH CORPORATION, not Cristah Development Corporation, and names no shareholder, parcel, Epstein, or Wexner.</x:v>
      </x:c>
    </x:row>
    <x:row r="192" ht="58" customHeight="1">
      <x:c r="A192" s="303" t="str">
        <x:v>Cristah Corporation</x:v>
      </x:c>
      <x:c r="B192" s="312" t="n">
        <x:v>32505.5</x:v>
      </x:c>
      <x:c r="C192" s="303" t="str">
        <x:v>domestic dissolution</x:v>
      </x:c>
      <x:c r="D192" s="315" t="str">
        <x:v>G532_1018;OH-SOS:728764:G532_0974</x:v>
      </x:c>
      <x:c r="E192" s="303" t="str">
        <x:v>Ohio Secretary of State</x:v>
      </x:c>
      <x:c r="F192" s="303" t="str">
        <x:v>Dissolution executed 1988-12-22 and filed 1988-12-28</x:v>
      </x:c>
      <x:c r="G192" s="303" t="str">
        <x:v>Stanley Schwartz, Jr.; Richard W. Rubenstein; Dorothy Snow; unnamed sole shareholder</x:v>
      </x:c>
      <x:c r="H192" s="303" t="str">
        <x:v>SKWR, 41 S. High St., 23rd Floor, Columbus, OH 43215</x:v>
      </x:c>
      <x:c r="I192" s="303" t="str">
        <x:v>primary_image_confirmed</x:v>
      </x:c>
      <x:c r="J192" s="303" t="str">
        <x:v>Schwartz was chairman/president, Rubenstein vice president/treasurer, Snow secretary, and the separately labeled directors were Schwartz and Rubenstein; the sole shareholder was unnamed</x:v>
      </x:c>
      <x:c r="K192" s="303"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93" ht="58" customHeight="1">
      <x:c r="A193" s="303" t="str">
        <x:v>Rettlin Investment Company</x:v>
      </x:c>
      <x:c r="B193" s="312" t="n">
        <x:v>32409.5</x:v>
      </x:c>
      <x:c r="C193" s="303" t="str">
        <x:v>domestic articles</x:v>
      </x:c>
      <x:c r="D193" s="315" t="str">
        <x:v>G472_1832</x:v>
      </x:c>
      <x:c r="E193" s="303" t="str">
        <x:v>Ohio Secretary of State</x:v>
      </x:c>
      <x:c r="F193" s="303" t="str">
        <x:v>Formation and original statutory-agent appointment</x:v>
      </x:c>
      <x:c r="G193" s="303" t="str">
        <x:v>Dorothy Snow; L. Loraditch</x:v>
      </x:c>
      <x:c r="H193" s="303" t="str">
        <x:v>Columbus, Franklin County; c/o SKWR, 41 S. High St., Suite 2300, Columbus, OH 43215</x:v>
      </x:c>
      <x:c r="I193" s="303" t="str">
        <x:v>primary_image_confirmed</x:v>
      </x:c>
      <x:c r="J193" s="303" t="str">
        <x:v>Snow signed as incorporator and original statutory agent; filing return routed to SKWR attention L. Loraditch</x:v>
      </x:c>
      <x:c r="K193" s="303" t="str">
        <x:v>The packet identifies RETTLIN INVESTMENT COMPANY, not Rettlin Investment Corporation, and names no shareholder, parcel, Epstein, or Wexner.</x:v>
      </x:c>
    </x:row>
    <x:row r="194" ht="58" customHeight="1">
      <x:c r="A194" s="303" t="str">
        <x:v>Rettlin Investment Company</x:v>
      </x:c>
      <x:c r="B194" s="312" t="n">
        <x:v>32505.5</x:v>
      </x:c>
      <x:c r="C194" s="303" t="str">
        <x:v>domestic dissolution</x:v>
      </x:c>
      <x:c r="D194" s="315" t="str">
        <x:v>G532_1198;OH-SOS:728764:G532_0974</x:v>
      </x:c>
      <x:c r="E194" s="303" t="str">
        <x:v>Ohio Secretary of State</x:v>
      </x:c>
      <x:c r="F194" s="303" t="str">
        <x:v>Dissolution executed 1988-12-22 and filed 1988-12-28</x:v>
      </x:c>
      <x:c r="G194" s="303" t="str">
        <x:v>Stanley Schwartz, Jr.; Richard W. Rubenstein; Dorothy Snow; unnamed sole shareholder</x:v>
      </x:c>
      <x:c r="H194" s="303" t="str">
        <x:v>SKWR, 41 S. High St., 23rd Floor, Columbus, OH 43215</x:v>
      </x:c>
      <x:c r="I194" s="303" t="str">
        <x:v>primary_image_confirmed</x:v>
      </x:c>
      <x:c r="J194" s="303" t="str">
        <x:v>Schwartz was chairman/president, Rubenstein vice president/treasurer, and Snow secretary; no separately labeled director list appears; the sole shareholder was unnamed</x:v>
      </x:c>
      <x:c r="K194" s="303" t="str">
        <x:v>The affidavit says no personal property in Ohio; it does not address real estate or identify any parcel or asset recipient. Argotron G532_0974 p.7 establishes inclusion in a 46-company administrative dissolution batch; it does not establish common ownership, common control, a shared property portfolio, or beneficial ownership.</x:v>
      </x:c>
    </x:row>
    <x:row r="195" ht="58" customHeight="1">
      <x:c r="A195" s="303" t="str">
        <x:v>Wheaton Company</x:v>
      </x:c>
      <x:c r="B195" s="312" t="n">
        <x:v>32339.5</x:v>
      </x:c>
      <x:c r="C195" s="303" t="str">
        <x:v>domestic articles</x:v>
      </x:c>
      <x:c r="D195" s="315" t="str">
        <x:v>G423_1517</x:v>
      </x:c>
      <x:c r="E195" s="303" t="str">
        <x:v>Ohio Secretary of State</x:v>
      </x:c>
      <x:c r="F195" s="303" t="str">
        <x:v>Formation and original statutory-agent appointment</x:v>
      </x:c>
      <x:c r="G195" s="303" t="str">
        <x:v>Dorothy Snow; L. Loraditch</x:v>
      </x:c>
      <x:c r="H195" s="303" t="str">
        <x:v>Columbus, Franklin County; c/o SKWR, 41 S. High St., Suite 2300, Columbus, OH 43215</x:v>
      </x:c>
      <x:c r="I195" s="303" t="str">
        <x:v>primary_image_confirmed</x:v>
      </x:c>
      <x:c r="J195" s="303" t="str">
        <x:v>Snow signed as sole incorporator and original statutory agent; filing return routed to SKWR attention L. Loraditch</x:v>
      </x:c>
      <x:c r="K195" s="303" t="str">
        <x:v>The general lawful-purpose clause identifies no officer, shareholder, parcel, Epstein, or Wexner.</x:v>
      </x:c>
    </x:row>
    <x:row r="196" ht="58" customHeight="1">
      <x:c r="A196" s="303" t="str">
        <x:v>Wheaton Company</x:v>
      </x:c>
      <x:c r="B196" s="312" t="n">
        <x:v>32505.5</x:v>
      </x:c>
      <x:c r="C196" s="303" t="str">
        <x:v>domestic dissolution</x:v>
      </x:c>
      <x:c r="D196" s="315" t="str">
        <x:v>G532_1246;batch cover G532_0974 p.7;OH-SOS:728764:G532_0974</x:v>
      </x:c>
      <x:c r="E196" s="303" t="str">
        <x:v>Ohio Secretary of State</x:v>
      </x:c>
      <x:c r="F196" s="303" t="str">
        <x:v>Dissolution executed 1988-12-22 and filed 1988-12-28; listed in 46-company submission</x:v>
      </x:c>
      <x:c r="G196" s="303" t="str">
        <x:v>Stanley Schwartz, Jr.; Richard W. Rubenstein; Dorothy Snow; unnamed sole shareholder</x:v>
      </x:c>
      <x:c r="H196" s="303" t="str">
        <x:v>SKWR, 41 S. High St., 23rd Floor, Columbus, OH 43215</x:v>
      </x:c>
      <x:c r="I196" s="303" t="str">
        <x:v>primary_image_confirmed</x:v>
      </x:c>
      <x:c r="J196" s="303" t="str">
        <x:v>Schwartz was chairman/president, Rubenstein vice president/treasurer, Snow secretary, and Schwartz/Rubenstein the listed directors; the sole shareholder was unnamed</x:v>
      </x:c>
      <x:c r="K196" s="303" t="str">
        <x:v>The affidavit says no personal property in Ohio, not no real estate. Batch submission is not ownership or asset-recipient proof. Argotron G532_0974 p.7 establishes inclusion in a 46-company administrative dissolution batch; it does not establish common ownership, common control, a shared property portfolio, or beneficial ownership.</x:v>
      </x:c>
    </x:row>
    <x:row r="197" ht="58" customHeight="1">
      <x:c r="A197" s="303" t="str">
        <x:v>Argotron Corporation</x:v>
      </x:c>
      <x:c r="B197" s="312" t="n">
        <x:v>32339.5</x:v>
      </x:c>
      <x:c r="C197" s="303" t="str">
        <x:v>domestic articles</x:v>
      </x:c>
      <x:c r="D197" s="315" t="str">
        <x:v>G423_1524</x:v>
      </x:c>
      <x:c r="E197" s="303" t="str">
        <x:v>Ohio Secretary of State</x:v>
      </x:c>
      <x:c r="F197" s="303" t="str">
        <x:v>Formation and original statutory-agent appointment</x:v>
      </x:c>
      <x:c r="G197" s="303" t="str">
        <x:v>Dorothy Snow; L. Loraditch</x:v>
      </x:c>
      <x:c r="H197" s="303" t="str">
        <x:v>Columbus, Franklin County; c/o SKWR, 41 S. High St., Suite 2300, Columbus, OH 43215</x:v>
      </x:c>
      <x:c r="I197" s="303" t="str">
        <x:v>primary_image_confirmed</x:v>
      </x:c>
      <x:c r="J197" s="303" t="str">
        <x:v>Snow signed as sole incorporator and original statutory agent; filing return routed to SKWR attention L. Loraditch</x:v>
      </x:c>
      <x:c r="K197" s="303" t="str">
        <x:v>The general lawful-purpose clause identifies no officer, shareholder, parcel, Epstein, or Wexner.</x:v>
      </x:c>
    </x:row>
    <x:row r="198" ht="58" customHeight="1">
      <x:c r="A198" s="303" t="str">
        <x:v>Argotron Corporation</x:v>
      </x:c>
      <x:c r="B198" s="312" t="n">
        <x:v>32505.5</x:v>
      </x:c>
      <x:c r="C198" s="303" t="str">
        <x:v>domestic dissolution and cover letter</x:v>
      </x:c>
      <x:c r="D198" s="315" t="str">
        <x:v>G532_0974;OH-SOS:728764:G532_0974</x:v>
      </x:c>
      <x:c r="E198" s="303" t="str">
        <x:v>Ohio Secretary of State</x:v>
      </x:c>
      <x:c r="F198" s="303" t="str">
        <x:v>Dissolution executed 1988-12-22 and filed 1988-12-28; page 7 transmits a 46-company batch</x:v>
      </x:c>
      <x:c r="G198" s="303" t="str">
        <x:v>Stanley Schwartz, Jr.; Richard W. Rubenstein; Dorothy Snow; unnamed sole shareholder</x:v>
      </x:c>
      <x:c r="H198" s="303" t="str">
        <x:v>SKWR, 41 S. High St., 23rd Floor, Columbus, OH 43215</x:v>
      </x:c>
      <x:c r="I198" s="303" t="str">
        <x:v>primary_image_confirmed</x:v>
      </x:c>
      <x:c r="J198" s="303" t="str">
        <x:v>Schwartz was chairman/president, Rubenstein vice president/treasurer, Snow secretary, and Schwartz/Rubenstein the listed directors; page 7 directly names 46 corporations in the submission</x:v>
      </x:c>
      <x:c r="K198" s="303" t="str">
        <x:v>The shareholder is unnamed. No-personal-property language does not address real estate, and the batch letter does not prove common ownership. Argotron G532_0974 p.7 establishes inclusion in a 46-company administrative dissolution batch; it does not establish common ownership, common control, a shared property portfolio, or beneficial ownership.</x:v>
      </x:c>
    </x:row>
    <x:row r="199" ht="58" customHeight="1">
      <x:c r="A199" s="303" t="str">
        <x:v>Mackinaw Marketing Co.</x:v>
      </x:c>
      <x:c r="B199" s="312" t="n">
        <x:v>32339.5</x:v>
      </x:c>
      <x:c r="C199" s="303" t="str">
        <x:v>domestic articles</x:v>
      </x:c>
      <x:c r="D199" s="315" t="str">
        <x:v>G423_1536</x:v>
      </x:c>
      <x:c r="E199" s="303" t="str">
        <x:v>Ohio Secretary of State</x:v>
      </x:c>
      <x:c r="F199" s="303" t="str">
        <x:v>Formation and original statutory-agent appointment</x:v>
      </x:c>
      <x:c r="G199" s="303" t="str">
        <x:v>Dorothy Snow; L. Loraditch</x:v>
      </x:c>
      <x:c r="H199" s="303" t="str">
        <x:v>Columbus, Franklin County; c/o SKWR, 41 S. High St., Suite 2300, Columbus, OH 43215</x:v>
      </x:c>
      <x:c r="I199" s="303" t="str">
        <x:v>primary_image_confirmed</x:v>
      </x:c>
      <x:c r="J199" s="303" t="str">
        <x:v>Snow signed as sole incorporator and original statutory agent; filing return routed to SKWR attention L. Loraditch</x:v>
      </x:c>
      <x:c r="K199" s="303" t="str">
        <x:v>The general lawful-purpose clause identifies no officer, shareholder, parcel, Epstein, or Wexner.</x:v>
      </x:c>
    </x:row>
    <x:row r="200" ht="58" customHeight="1">
      <x:c r="A200" s="303" t="str">
        <x:v>Mackinaw Marketing Co.</x:v>
      </x:c>
      <x:c r="B200" s="312" t="n">
        <x:v>32505.5</x:v>
      </x:c>
      <x:c r="C200" s="303" t="str">
        <x:v>domestic dissolution</x:v>
      </x:c>
      <x:c r="D200" s="315" t="str">
        <x:v>G532_1126;batch cover G532_0974 p.7;OH-SOS:728764:G532_0974</x:v>
      </x:c>
      <x:c r="E200" s="303" t="str">
        <x:v>Ohio Secretary of State</x:v>
      </x:c>
      <x:c r="F200" s="303" t="str">
        <x:v>Dissolution executed 1988-12-22 and filed 1988-12-28; listed in 46-company submission</x:v>
      </x:c>
      <x:c r="G200" s="303" t="str">
        <x:v>Stanley Schwartz, Jr.; Richard W. Rubenstein; Dorothy Snow; unnamed sole shareholder</x:v>
      </x:c>
      <x:c r="H200" s="303" t="str">
        <x:v>SKWR, 41 S. High St., 23rd Floor, Columbus, OH 43215</x:v>
      </x:c>
      <x:c r="I200" s="303" t="str">
        <x:v>primary_image_confirmed</x:v>
      </x:c>
      <x:c r="J200" s="303" t="str">
        <x:v>Schwartz was chairman/president, Rubenstein vice president/treasurer, Snow secretary, and Schwartz/Rubenstein the listed directors; the sole shareholder was unnamed</x:v>
      </x:c>
      <x:c r="K200" s="303" t="str">
        <x:v>The affidavit says no personal property in Ohio, not no real estate. Batch submission is not ownership or asset-recipient proof. Argotron G532_0974 p.7 establishes inclusion in a 46-company administrative dissolution batch; it does not establish common ownership, common control, a shared property portfolio, or beneficial ownership.</x:v>
      </x:c>
    </x:row>
    <x:row r="201" ht="58" customHeight="1">
      <x:c r="A201" s="303" t="str">
        <x:v>Scripton Products, Inc.</x:v>
      </x:c>
      <x:c r="B201" s="312" t="n">
        <x:v>32339.5</x:v>
      </x:c>
      <x:c r="C201" s="303" t="str">
        <x:v>domestic articles</x:v>
      </x:c>
      <x:c r="D201" s="315" t="str">
        <x:v>G423_1548</x:v>
      </x:c>
      <x:c r="E201" s="303" t="str">
        <x:v>Ohio Secretary of State</x:v>
      </x:c>
      <x:c r="F201" s="303" t="str">
        <x:v>Formation and original statutory-agent appointment</x:v>
      </x:c>
      <x:c r="G201" s="303" t="str">
        <x:v>Dorothy Snow; L. Loraditch</x:v>
      </x:c>
      <x:c r="H201" s="303" t="str">
        <x:v>Columbus, Franklin County; c/o SKWR, 41 S. High St., Suite 2300, Columbus, OH 43215</x:v>
      </x:c>
      <x:c r="I201" s="303" t="str">
        <x:v>primary_image_confirmed</x:v>
      </x:c>
      <x:c r="J201" s="303" t="str">
        <x:v>Snow signed as sole incorporator and original statutory agent; filing return routed to SKWR attention L. Loraditch</x:v>
      </x:c>
      <x:c r="K201" s="303" t="str">
        <x:v>The general lawful-purpose clause identifies no officer, shareholder, parcel, Epstein, or Wexner.</x:v>
      </x:c>
    </x:row>
    <x:row r="202" ht="58" customHeight="1">
      <x:c r="A202" s="303" t="str">
        <x:v>Scripton Products, Inc.</x:v>
      </x:c>
      <x:c r="B202" s="312" t="n">
        <x:v>32505.5</x:v>
      </x:c>
      <x:c r="C202" s="303" t="str">
        <x:v>domestic dissolution</x:v>
      </x:c>
      <x:c r="D202" s="315" t="str">
        <x:v>G532_1228;batch cover G532_0974 p.7;OH-SOS:728764:G532_0974</x:v>
      </x:c>
      <x:c r="E202" s="303" t="str">
        <x:v>Ohio Secretary of State</x:v>
      </x:c>
      <x:c r="F202" s="303" t="str">
        <x:v>Dissolution executed 1988-12-22 and filed 1988-12-28; listed in 46-company submission</x:v>
      </x:c>
      <x:c r="G202" s="303" t="str">
        <x:v>Stanley Schwartz, Jr.; Richard W. Rubenstein; Dorothy Snow; unnamed sole shareholder</x:v>
      </x:c>
      <x:c r="H202" s="303" t="str">
        <x:v>SKWR, 41 S. High St., 23rd Floor, Columbus, OH 43215</x:v>
      </x:c>
      <x:c r="I202" s="303" t="str">
        <x:v>primary_image_confirmed</x:v>
      </x:c>
      <x:c r="J202" s="303" t="str">
        <x:v>Schwartz was chairman/president, Rubenstein vice president/treasurer, Snow secretary, and Schwartz/Rubenstein the listed directors; the sole shareholder was unnamed</x:v>
      </x:c>
      <x:c r="K202" s="303" t="str">
        <x:v>The affidavit says no personal property in Ohio, not no real estate. Batch submission is not ownership or asset-recipient proof. Argotron G532_0974 p.7 establishes inclusion in a 46-company administrative dissolution batch; it does not establish common ownership, common control, a shared property portfolio, or beneficial ownership.</x:v>
      </x:c>
    </x:row>
    <x:row r="203" ht="58" customHeight="1">
      <x:c r="A203" s="303" t="str">
        <x:v>Urban Improvement of Columbus, Inc.</x:v>
      </x:c>
      <x:c r="B203" s="312" t="n">
        <x:v>24736.5</x:v>
      </x:c>
      <x:c r="C203" s="303" t="str">
        <x:v>domestic nonprofit articles</x:v>
      </x:c>
      <x:c r="D203" s="315" t="str">
        <x:v>B521_2010</x:v>
      </x:c>
      <x:c r="E203" s="303" t="str">
        <x:v>Ohio Secretary of State</x:v>
      </x:c>
      <x:c r="F203" s="303" t="str">
        <x:v>Formation; explicit property-holding purpose; original trustee and agent appointments</x:v>
      </x:c>
      <x:c r="G203" s="303" t="str">
        <x:v>Harrison W. Smith; Harrison W. Smith Jr.; James M. Tobin</x:v>
      </x:c>
      <x:c r="H203" s="303" t="str">
        <x:v>Columbus, Franklin County; 228 Preston Rd.; 258 N. Parkview; 2367 Brentwood Rd.</x:v>
      </x:c>
      <x:c r="I203" s="303" t="str">
        <x:v>primary_image_confirmed</x:v>
      </x:c>
      <x:c r="J203" s="303" t="str">
        <x:v>The three men were incorporators and initial trustees; Tobin was original statutory agent; the purpose expressly included holding title and interests in real and personal property</x:v>
      </x:c>
      <x:c r="K203" s="303" t="str">
        <x:v>No parcel, deed, member, beneficiary, shareholder, Epstein, Wexner, or Snow is identified.</x:v>
      </x:c>
    </x:row>
    <x:row r="204" ht="58" customHeight="1">
      <x:c r="A204" s="303" t="str">
        <x:v>Urban Improvement of Columbus, Inc.</x:v>
      </x:c>
      <x:c r="B204" s="312" t="n">
        <x:v>28136.5</x:v>
      </x:c>
      <x:c r="C204" s="303" t="str">
        <x:v>certificate of continued existence</x:v>
      </x:c>
      <x:c r="D204" s="315" t="str">
        <x:v>E233_1442</x:v>
      </x:c>
      <x:c r="E204" s="303" t="str">
        <x:v>Ohio Secretary of State</x:v>
      </x:c>
      <x:c r="F204" s="303" t="str">
        <x:v>Continued-existence statement</x:v>
      </x:c>
      <x:c r="G204" s="303" t="str">
        <x:v>James M. Tobin</x:v>
      </x:c>
      <x:c r="H204" s="303" t="str">
        <x:v>Principal office: Columbus, Franklin County; agent: 37 W. Broad St., Columbus</x:v>
      </x:c>
      <x:c r="I204" s="303" t="str">
        <x:v>primary_image_confirmed</x:v>
      </x:c>
      <x:c r="J204" s="303" t="str">
        <x:v>Tobin signed as vice president and was listed as statutory agent.</x:v>
      </x:c>
      <x:c r="K204" s="303" t="str">
        <x:v>The statement identifies no parcel, owner, Snow, Epstein, or Wexner.</x:v>
      </x:c>
    </x:row>
    <x:row r="205" ht="58" customHeight="1">
      <x:c r="A205" s="303" t="str">
        <x:v>Urban Improvement of Columbus, Inc.</x:v>
      </x:c>
      <x:c r="B205" s="312" t="n">
        <x:v>32080.5</x:v>
      </x:c>
      <x:c r="C205" s="303" t="str">
        <x:v>reinstatement and subsequent agent appointment</x:v>
      </x:c>
      <x:c r="D205" s="315" t="str">
        <x:v>G266_1966</x:v>
      </x:c>
      <x:c r="E205" s="303" t="str">
        <x:v>Ohio Secretary of State</x:v>
      </x:c>
      <x:c r="F205" s="303" t="str">
        <x:v>Reinstatement after 1982 cancellation; agent change</x:v>
      </x:c>
      <x:c r="G205" s="303" t="str">
        <x:v>Harrison W. Smith Jr.; Jeffrey L. Brown; Ben W. Hale Jr.; James M. Tobin</x:v>
      </x:c>
      <x:c r="H205" s="303" t="str">
        <x:v>37 W. Broad St., Columbus, OH 43215</x:v>
      </x:c>
      <x:c r="I205" s="303" t="str">
        <x:v>primary_image_confirmed</x:v>
      </x:c>
      <x:c r="J205" s="303" t="str">
        <x:v>Smith signed the reinstatement as president; Brown signed as vice president to appoint Hale as agent succeeding Tobin.</x:v>
      </x:c>
      <x:c r="K205" s="303" t="str">
        <x:v>The packet identifies no property transfer, parcel, Snow, Epstein, or Wexner.</x:v>
      </x:c>
    </x:row>
    <x:row r="206" ht="58" customHeight="1">
      <x:c r="A206" s="303" t="str">
        <x:v>Urban Improvement of Columbus, Inc.</x:v>
      </x:c>
      <x:c r="B206" s="312" t="n">
        <x:v>32563.5</x:v>
      </x:c>
      <x:c r="C206" s="303" t="str">
        <x:v>amendment and subsequent agent appointment</x:v>
      </x:c>
      <x:c r="D206" s="315" t="str">
        <x:v>G575_1397; G575_1404</x:v>
      </x:c>
      <x:c r="E206" s="303" t="str">
        <x:v>Ohio Secretary of State</x:v>
      </x:c>
      <x:c r="F206" s="303" t="str">
        <x:v>Purpose amendment and appointment of Dorothy Snow as statutory agent</x:v>
      </x:c>
      <x:c r="G206" s="303" t="str">
        <x:v>Harold L. Levin; William R. Westbrook; Dorothy Snow; Ben W. Hale Jr.</x:v>
      </x:c>
      <x:c r="H206" s="303" t="str">
        <x:v>Snow: 41 S. High St., Suite 3710, Columbus, OH 43215</x:v>
      </x:c>
      <x:c r="I206" s="303" t="str">
        <x:v>primary_image_confirmed</x:v>
      </x:c>
      <x:c r="J206" s="303" t="str">
        <x:v>Levin was president and Westbrook secretary; the amended purpose was to own and operate a social, recreational, or athletic club; Levin appointed Snow as agent.</x:v>
      </x:c>
      <x:c r="K206" s="303" t="str">
        <x:v>Snow signed only as statutory agent, not as officer or trustee. The purpose identifies no club name, parcel, deed, owner, Epstein, or Wexner.</x:v>
      </x:c>
    </x:row>
    <x:row r="207" ht="58" customHeight="1">
      <x:c r="A207" s="303" t="str">
        <x:v>Urban Improvement of Columbus, Inc.</x:v>
      </x:c>
      <x:c r="B207" s="312" t="n">
        <x:v>32563.5</x:v>
      </x:c>
      <x:c r="C207" s="303" t="str">
        <x:v>agent-resignation packet with embedded source error</x:v>
      </x:c>
      <x:c r="D207" s="315" t="str">
        <x:v>G575_1401</x:v>
      </x:c>
      <x:c r="E207" s="303" t="str">
        <x:v>Ohio Secretary of State</x:v>
      </x:c>
      <x:c r="F207" s="303" t="str">
        <x:v>Portal labels an agent resignation</x:v>
      </x:c>
      <x:c r="G207" s="303"/>
      <x:c r="H207" s="303"/>
      <x:c r="I207" s="303" t="str">
        <x:v>primary_packet_incomplete_source_error</x:v>
      </x:c>
      <x:c r="J207" s="303" t="str">
        <x:v>The receipt and certificate confirm an agent-resignation filing for the corporation.</x:v>
      </x:c>
      <x:c r="K207" s="303" t="str">
        <x:v>Page 3 is an Ohio-hosted error placard, so the resignation instrument, signer, and resigning agent cannot be read from this packet.</x:v>
      </x:c>
    </x:row>
    <x:row r="208" ht="58" customHeight="1">
      <x:c r="A208" s="303" t="str">
        <x:v>Urban Improvement of Columbus, Inc.</x:v>
      </x:c>
      <x:c r="B208" s="312" t="n">
        <x:v>34387.5</x:v>
      </x:c>
      <x:c r="C208" s="303" t="str">
        <x:v>certificate of continued existence</x:v>
      </x:c>
      <x:c r="D208" s="315" t="str">
        <x:v>9458_0560</x:v>
      </x:c>
      <x:c r="E208" s="303" t="str">
        <x:v>Ohio Secretary of State</x:v>
      </x:c>
      <x:c r="F208" s="303" t="str">
        <x:v>Continued-existence statement</x:v>
      </x:c>
      <x:c r="G208" s="303" t="str">
        <x:v>John W. Kessler; Dorothy Snow</x:v>
      </x:c>
      <x:c r="H208" s="303" t="str">
        <x:v>Snow: 41 S. High St., Suite 3710, Columbus, OH 43215</x:v>
      </x:c>
      <x:c r="I208" s="303" t="str">
        <x:v>primary_image_confirmed</x:v>
      </x:c>
      <x:c r="J208" s="303" t="str">
        <x:v>Kessler signed as trustee; Snow was listed as current statutory agent.</x:v>
      </x:c>
      <x:c r="K208" s="303" t="str">
        <x:v>Snow is not identified as a trustee or officer; no parcel, Epstein, or Wexner appears.</x:v>
      </x:c>
    </x:row>
    <x:row r="209" ht="58" customHeight="1">
      <x:c r="A209" s="303" t="str">
        <x:v>Urban Improvement of Columbus, Inc.</x:v>
      </x:c>
      <x:c r="B209" s="312" t="n">
        <x:v>36234.5</x:v>
      </x:c>
      <x:c r="C209" s="303" t="str">
        <x:v>failure-to-file cancellation</x:v>
      </x:c>
      <x:c r="D209" s="315" t="str">
        <x:v>199907400518</x:v>
      </x:c>
      <x:c r="E209" s="303" t="str">
        <x:v>Ohio Secretary of State</x:v>
      </x:c>
      <x:c r="F209" s="303" t="str">
        <x:v>Cancellation for failure to file statement of continued existence</x:v>
      </x:c>
      <x:c r="G209" s="303" t="str">
        <x:v>Dorothy Snow</x:v>
      </x:c>
      <x:c r="H209" s="303" t="str">
        <x:v>Mail to Snow at 41 S. High St., Suite 3710, Columbus, OH 43215</x:v>
      </x:c>
      <x:c r="I209" s="303" t="str">
        <x:v>primary_image_confirmed</x:v>
      </x:c>
      <x:c r="J209" s="303" t="str">
        <x:v>The corporation was cancelled and the certificate was mailed to Snow.</x:v>
      </x:c>
      <x:c r="K209" s="303" t="str">
        <x:v>Mail routing reflects the statutory-agent address; it does not identify Snow as owner or officer and says nothing about property disposition.</x:v>
      </x:c>
    </x:row>
    <x:row r="210" ht="58" customHeight="1">
      <x:c r="A210" s="303" t="str">
        <x:v>Urban Improvement of Columbus, Inc.</x:v>
      </x:c>
      <x:c r="B210" s="312" t="str">
        <x:v>1982-01-11 to 2025-11-05</x:v>
      </x:c>
      <x:c r="C210" s="303" t="str">
        <x:v>portal rows without images</x:v>
      </x:c>
      <x:c r="D210" s="315" t="str">
        <x:v>000000132619; 000000132620; 000000132621; PERMCAN</x:v>
      </x:c>
      <x:c r="E210" s="303" t="str">
        <x:v>Ohio Secretary of State</x:v>
      </x:c>
      <x:c r="F210" s="303" t="str">
        <x:v>Cancellation/renewal/permanent-cancellation metadata</x:v>
      </x:c>
      <x:c r="G210" s="303"/>
      <x:c r="H210" s="303"/>
      <x:c r="I210" s="303" t="str">
        <x:v>portal_metadata_only</x:v>
      </x:c>
      <x:c r="J210" s="303" t="str">
        <x:v>The live history contains four no-image administrative rows.</x:v>
      </x:c>
      <x:c r="K210" s="303" t="str">
        <x:v>The underlying documents, signers, addresses, and any substantive contents are unavailable.</x:v>
      </x:c>
    </x:row>
    <x:row r="211" ht="58" customHeight="1">
      <x:c r="A211" s="303" t="str">
        <x:v>Blacksheep Farms, Inc.</x:v>
      </x:c>
      <x:c r="B211" s="312" t="n">
        <x:v>32118.5</x:v>
      </x:c>
      <x:c r="C211" s="303" t="str">
        <x:v>domestic articles</x:v>
      </x:c>
      <x:c r="D211" s="315" t="str">
        <x:v>G285_0677</x:v>
      </x:c>
      <x:c r="E211" s="303" t="str">
        <x:v>Ohio Secretary of State</x:v>
      </x:c>
      <x:c r="F211" s="303" t="str">
        <x:v>Formation and original statutory-agent appointment</x:v>
      </x:c>
      <x:c r="G211" s="303" t="str">
        <x:v>Robert N. Wistner</x:v>
      </x:c>
      <x:c r="H211" s="303" t="str">
        <x:v>Dublin, Franklin County; 475 Metro Place North, Suite 200, Dublin, OH 43017-1374</x:v>
      </x:c>
      <x:c r="I211" s="303" t="str">
        <x:v>primary_image_confirmed</x:v>
      </x:c>
      <x:c r="J211" s="303" t="str">
        <x:v>Wistner was incorporator and original statutory agent; the articles use a generic lawful-purpose clause.</x:v>
      </x:c>
      <x:c r="K211" s="303" t="str">
        <x:v>The packet identifies no officer, director, shareholder, parcel, Snow, Epstein, or Wexner.</x:v>
      </x:c>
    </x:row>
    <x:row r="212" ht="58" customHeight="1">
      <x:c r="A212" s="303" t="str">
        <x:v>Blacksheep Farms, Inc.</x:v>
      </x:c>
      <x:c r="B212" s="312" t="n">
        <x:v>34243.5</x:v>
      </x:c>
      <x:c r="C212" s="303" t="str">
        <x:v>subsequent agent appointment</x:v>
      </x:c>
      <x:c r="D212" s="315" t="str">
        <x:v>H703_1584</x:v>
      </x:c>
      <x:c r="E212" s="303" t="str">
        <x:v>Ohio Secretary of State</x:v>
      </x:c>
      <x:c r="F212" s="303" t="str">
        <x:v>Corporate secretary signature and statutory-agent appointment</x:v>
      </x:c>
      <x:c r="G212" s="303" t="str">
        <x:v>Dorothy Snow; Robert N. Wistner</x:v>
      </x:c>
      <x:c r="H212" s="303" t="str">
        <x:v>41 S. High St., Suite 2300, Columbus, OH 43215</x:v>
      </x:c>
      <x:c r="I212" s="303" t="str">
        <x:v>primary_image_confirmed</x:v>
      </x:c>
      <x:c r="J212" s="303" t="str">
        <x:v>Snow signed the corporate-officer line as secretary and separately accepted appointment as agent, succeeding Wistner.</x:v>
      </x:c>
      <x:c r="K212" s="303" t="str">
        <x:v>The filing does not identify Snow as owner, director, or shareholder and names no parcel, Epstein, or Wexner.</x:v>
      </x:c>
    </x:row>
    <x:row r="213" ht="58" customHeight="1">
      <x:c r="A213" s="303" t="str">
        <x:v>Blacksheep Farms, Inc.</x:v>
      </x:c>
      <x:c r="B213" s="312" t="n">
        <x:v>35062.5</x:v>
      </x:c>
      <x:c r="C213" s="303" t="str">
        <x:v>merged-out status packet</x:v>
      </x:c>
      <x:c r="D213" s="315" t="str">
        <x:v>5422_1221</x:v>
      </x:c>
      <x:c r="E213" s="303" t="str">
        <x:v>Ohio Secretary of State</x:v>
      </x:c>
      <x:c r="F213" s="303" t="str">
        <x:v>MEX certificate and later processing statement</x:v>
      </x:c>
      <x:c r="G213" s="303" t="str">
        <x:v>New Albany Company; W. W. Vaughn III</x:v>
      </x:c>
      <x:c r="H213" s="303" t="str">
        <x:v>5906 E. Dublin-Granville Rd., New Albany, OH 43054</x:v>
      </x:c>
      <x:c r="I213" s="303" t="str">
        <x:v>primary_image_confirmed</x:v>
      </x:c>
      <x:c r="J213" s="303" t="str">
        <x:v>The packet confirms merged-out status and routes the status document to New Albany Company.</x:v>
      </x:c>
      <x:c r="K213" s="303" t="str">
        <x:v>The packet names no survivor, other constituent, signer, agreement, property, Epstein, or Wexner; a return recipient is not merger-party or ownership proof.</x:v>
      </x:c>
    </x:row>
    <x:row r="214" ht="58" customHeight="1">
      <x:c r="A214" s="303" t="str">
        <x:v>Blacksheep Farms, Inc.</x:v>
      </x:c>
      <x:c r="B214" s="312" t="str">
        <x:v>1993-09-09 to 1993-11-08</x:v>
      </x:c>
      <x:c r="C214" s="303" t="str">
        <x:v>portal rows without images</x:v>
      </x:c>
      <x:c r="D214" s="315" t="str">
        <x:v>000000077412; 000000077413</x:v>
      </x:c>
      <x:c r="E214" s="303" t="str">
        <x:v>Ohio Secretary of State</x:v>
      </x:c>
      <x:c r="F214" s="303" t="str">
        <x:v>Continued-existence metadata</x:v>
      </x:c>
      <x:c r="G214" s="303"/>
      <x:c r="H214" s="303"/>
      <x:c r="I214" s="303" t="str">
        <x:v>portal_metadata_only</x:v>
      </x:c>
      <x:c r="J214" s="303" t="str">
        <x:v>The live history contains two no-image continued-existence rows.</x:v>
      </x:c>
      <x:c r="K214" s="303" t="str">
        <x:v>The underlying contents, signers, addresses, and officer observations are unavailable.</x:v>
      </x:c>
    </x:row>
    <x:row r="215" ht="58" customHeight="1">
      <x:c r="A215" s="303" t="str">
        <x:v>Wesleyan Conservation Corp.</x:v>
      </x:c>
      <x:c r="B215" s="312" t="n">
        <x:v>32953.5</x:v>
      </x:c>
      <x:c r="C215" s="303" t="str">
        <x:v>domestic articles</x:v>
      </x:c>
      <x:c r="D215" s="315" t="str">
        <x:v>G825_1992</x:v>
      </x:c>
      <x:c r="E215" s="303" t="str">
        <x:v>Ohio Secretary of State</x:v>
      </x:c>
      <x:c r="F215" s="303" t="str">
        <x:v>Formation and original statutory-agent appointment</x:v>
      </x:c>
      <x:c r="G215" s="303" t="str">
        <x:v>Pam Lillie; CT Corporation System</x:v>
      </x:c>
      <x:c r="H215" s="303" t="str">
        <x:v>Columbus, Franklin County; Carew Tower, Cincinnati, OH 45202</x:v>
      </x:c>
      <x:c r="I215" s="303" t="str">
        <x:v>primary_image_confirmed</x:v>
      </x:c>
      <x:c r="J215" s="303" t="str">
        <x:v>Lillie was incorporator; CT Corporation System was original agent; the filing was returned to Porter, Wright, Morris &amp; Arthur.</x:v>
      </x:c>
      <x:c r="K215" s="303" t="str">
        <x:v>Generic articles identify no officer, director, shareholder, parcel, conservation property, Snow, Epstein, or Wexner.</x:v>
      </x:c>
    </x:row>
    <x:row r="216" ht="58" customHeight="1">
      <x:c r="A216" s="303" t="str">
        <x:v>Wesleyan Conservation Corp.</x:v>
      </x:c>
      <x:c r="B216" s="312" t="n">
        <x:v>34471.5</x:v>
      </x:c>
      <x:c r="C216" s="303" t="str">
        <x:v>subsequent agent appointment</x:v>
      </x:c>
      <x:c r="D216" s="315" t="str">
        <x:v>4132_0290</x:v>
      </x:c>
      <x:c r="E216" s="303" t="str">
        <x:v>Ohio Secretary of State</x:v>
      </x:c>
      <x:c r="F216" s="303" t="str">
        <x:v>Corporate-officer signature and statutory-agent appointment</x:v>
      </x:c>
      <x:c r="G216" s="303" t="str">
        <x:v>Jeffrey J. Smith; Dorothy Snow; CT Corporation System</x:v>
      </x:c>
      <x:c r="H216" s="303" t="str">
        <x:v>Snow c/o Schwartz, Kelm, Warren &amp; Rubenstein, 41 S. High St., Suite 2300, Columbus, OH 43215</x:v>
      </x:c>
      <x:c r="I216" s="303" t="str">
        <x:v>primary_image_confirmed</x:v>
      </x:c>
      <x:c r="J216" s="303" t="str">
        <x:v>Jeffrey J. Smith signed as vice president and secretary; Snow accepted appointment as agent, succeeding CT Corporation System.</x:v>
      </x:c>
      <x:c r="K216" s="303" t="str">
        <x:v>Jeffrey J. Smith is not Jeffrey Epstein. Snow is not identified as officer, director, shareholder, or owner; no parcel or Wexner role appears.</x:v>
      </x:c>
    </x:row>
    <x:row r="217" ht="58" customHeight="1">
      <x:c r="A217" s="303" t="str">
        <x:v>Wesleyan Conservation Corp.</x:v>
      </x:c>
      <x:c r="B217" s="312" t="str">
        <x:v>1993-09-09 to 1993-11-08</x:v>
      </x:c>
      <x:c r="C217" s="303" t="str">
        <x:v>portal rows without images</x:v>
      </x:c>
      <x:c r="D217" s="315" t="str">
        <x:v>000000400892; 000000400893</x:v>
      </x:c>
      <x:c r="E217" s="303" t="str">
        <x:v>Ohio Secretary of State</x:v>
      </x:c>
      <x:c r="F217" s="303" t="str">
        <x:v>Continued-existence metadata</x:v>
      </x:c>
      <x:c r="G217" s="303"/>
      <x:c r="H217" s="303"/>
      <x:c r="I217" s="303" t="str">
        <x:v>portal_metadata_only</x:v>
      </x:c>
      <x:c r="J217" s="303" t="str">
        <x:v>The live history contains two no-image continued-existence rows.</x:v>
      </x:c>
      <x:c r="K217" s="303" t="str">
        <x:v>The underlying contents, signers, addresses, and officer observations are unavailable.</x:v>
      </x:c>
    </x:row>
    <x:row r="218" ht="58" customHeight="1">
      <x:c r="A218" s="303" t="str">
        <x:v>Architonics, Inc.</x:v>
      </x:c>
      <x:c r="B218" s="312" t="n">
        <x:v>32118.5</x:v>
      </x:c>
      <x:c r="C218" s="303" t="str">
        <x:v>domestic articles</x:v>
      </x:c>
      <x:c r="D218" s="315" t="str">
        <x:v>G284_0971</x:v>
      </x:c>
      <x:c r="E218" s="303" t="str">
        <x:v>Ohio Secretary of State</x:v>
      </x:c>
      <x:c r="F218" s="303" t="str">
        <x:v>Formation and original statutory-agent appointment</x:v>
      </x:c>
      <x:c r="G218" s="303" t="str">
        <x:v>Robert N. Wistner; Len Loraditch</x:v>
      </x:c>
      <x:c r="H218" s="303" t="str">
        <x:v>Dublin, Franklin County; 475 Metro Place North, Suite 200, Dublin; SKWR, 41 S. High St., Columbus</x:v>
      </x:c>
      <x:c r="I218" s="303" t="str">
        <x:v>primary_image_confirmed</x:v>
      </x:c>
      <x:c r="J218" s="303" t="str">
        <x:v>Wistner signed as incorporator and accepted appointment as original statutory agent; generic lawful purpose</x:v>
      </x:c>
      <x:c r="K218" s="303" t="str">
        <x:v>The articles identify no shareholder, parcel, Epstein, Wexner, or Snow.</x:v>
      </x:c>
    </x:row>
    <x:row r="219" ht="58" customHeight="1">
      <x:c r="A219" s="303" t="str">
        <x:v>Architonics, Inc.</x:v>
      </x:c>
      <x:c r="B219" s="312" t="n">
        <x:v>32871.5</x:v>
      </x:c>
      <x:c r="C219" s="303" t="str">
        <x:v>domestic dissolution and subsequent-agent appointment</x:v>
      </x:c>
      <x:c r="D219" s="315" t="str">
        <x:v>G805_0277</x:v>
      </x:c>
      <x:c r="E219" s="303" t="str">
        <x:v>Ohio Secretary of State</x:v>
      </x:c>
      <x:c r="F219" s="303" t="str">
        <x:v>Dissolution executed 1989-12-28 and filed 1989-12-29</x:v>
      </x:c>
      <x:c r="G219" s="303" t="str">
        <x:v>Stanley Schwartz, Jr.; Richard W. Rubenstein; Dorothy Snow; unnamed sole shareholder</x:v>
      </x:c>
      <x:c r="H219" s="303" t="str">
        <x:v>SKWR, 41 S. High St., 23rd Floor, Columbus, OH 43215</x:v>
      </x:c>
      <x:c r="I219" s="303" t="str">
        <x:v>primary_image_confirmed</x:v>
      </x:c>
      <x:c r="J219" s="303" t="str">
        <x:v>Schwartz was chairman/president, Rubenstein vice president/treasurer, Snow secretary/agent, and Schwartz/Rubenstein directors; sole shareholder unnamed</x:v>
      </x:c>
      <x:c r="K219" s="303" t="str">
        <x:v>No parcel or final asset recipient is identified; the no-personal-property affidavit does not address real estate.</x:v>
      </x:c>
    </x:row>
    <x:row r="220" ht="58" customHeight="1">
      <x:c r="A220" s="303" t="str">
        <x:v>LEWEX, Inc.</x:v>
      </x:c>
      <x:c r="B220" s="312" t="n">
        <x:v>31236.5</x:v>
      </x:c>
      <x:c r="C220" s="303" t="str">
        <x:v>domestic articles under former name</x:v>
      </x:c>
      <x:c r="D220" s="315" t="str">
        <x:v>F688_0728</x:v>
      </x:c>
      <x:c r="E220" s="303" t="str">
        <x:v>Ohio Secretary of State</x:v>
      </x:c>
      <x:c r="F220" s="303" t="str">
        <x:v>Formation as Samax Trading Corporation</x:v>
      </x:c>
      <x:c r="G220" s="303" t="str">
        <x:v>Dorothy Snow</x:v>
      </x:c>
      <x:c r="H220" s="303" t="str">
        <x:v>250 E Broad St., Columbus, OH 43215</x:v>
      </x:c>
      <x:c r="I220" s="303" t="str">
        <x:v>primary_image_confirmed</x:v>
      </x:c>
      <x:c r="J220" s="303" t="str">
        <x:v>Exact charter formed as Samax Trading Corporation; Snow was incorporator and original agent</x:v>
      </x:c>
      <x:c r="K220" s="303" t="str">
        <x:v>The articles identify no officer, shareholder, parcel, Epstein, or Wexner.</x:v>
      </x:c>
    </x:row>
    <x:row r="221" ht="58" customHeight="1">
      <x:c r="A221" s="303" t="str">
        <x:v>LEWEX, Inc.</x:v>
      </x:c>
      <x:c r="B221" s="312" t="n">
        <x:v>31352.5</x:v>
      </x:c>
      <x:c r="C221" s="303" t="str">
        <x:v>agent address change</x:v>
      </x:c>
      <x:c r="D221" s="315" t="str">
        <x:v>F771_0253</x:v>
      </x:c>
      <x:c r="E221" s="303" t="str">
        <x:v>Ohio Secretary of State</x:v>
      </x:c>
      <x:c r="F221" s="303" t="str">
        <x:v>Snow agent address moved to 41 S High St.</x:v>
      </x:c>
      <x:c r="G221" s="303" t="str">
        <x:v>Dorothy Snow; Harold L. Levin</x:v>
      </x:c>
      <x:c r="H221" s="303" t="str">
        <x:v>41 S High St., Columbus, OH 43215</x:v>
      </x:c>
      <x:c r="I221" s="303" t="str">
        <x:v>primary_image_confirmed</x:v>
      </x:c>
      <x:c r="J221" s="303" t="str">
        <x:v>Levin signed as chairman; the entity was still Samax</x:v>
      </x:c>
      <x:c r="K221" s="303" t="str">
        <x:v>An agent-address change does not establish ownership or control.</x:v>
      </x:c>
    </x:row>
    <x:row r="222" ht="58" customHeight="1">
      <x:c r="A222" s="303" t="str">
        <x:v>LEWEX, Inc.</x:v>
      </x:c>
      <x:c r="B222" s="312" t="n">
        <x:v>32091.5</x:v>
      </x:c>
      <x:c r="C222" s="303" t="str">
        <x:v>name-change amendment</x:v>
      </x:c>
      <x:c r="D222" s="315" t="str">
        <x:v>G279_0229</x:v>
      </x:c>
      <x:c r="E222" s="303" t="str">
        <x:v>Ohio Secretary of State</x:v>
      </x:c>
      <x:c r="F222" s="303" t="str">
        <x:v>Samax Trading Corporation renamed LEWEX, Inc.</x:v>
      </x:c>
      <x:c r="G222" s="303" t="str">
        <x:v>Harold L. Levin; Stephen P. Campbell; Stanley Schwartz, Jr.</x:v>
      </x:c>
      <x:c r="H222" s="303" t="str">
        <x:v>41 S High St., Columbus, OH 43215</x:v>
      </x:c>
      <x:c r="I222" s="303" t="str">
        <x:v>primary_image_confirmed</x:v>
      </x:c>
      <x:c r="J222" s="303" t="str">
        <x:v>All outstanding common shareholders approved the name change in writing, but the filing does not name them</x:v>
      </x:c>
      <x:c r="K222" s="303" t="str">
        <x:v>The amendment does not identify Epstein, Wexner, or a control transfer.</x:v>
      </x:c>
    </x:row>
    <x:row r="223" ht="58" customHeight="1">
      <x:c r="A223" s="303" t="str">
        <x:v>Park Properties, Inc.</x:v>
      </x:c>
      <x:c r="B223" s="312" t="n">
        <x:v>30686.5</x:v>
      </x:c>
      <x:c r="C223" s="303" t="str">
        <x:v>domestic articles</x:v>
      </x:c>
      <x:c r="D223" s="315" t="str">
        <x:v>F377_0978</x:v>
      </x:c>
      <x:c r="E223" s="303" t="str">
        <x:v>Ohio Secretary of State</x:v>
      </x:c>
      <x:c r="F223" s="303" t="str">
        <x:v>Formation and original statutory-agent appointment</x:v>
      </x:c>
      <x:c r="G223" s="303" t="str">
        <x:v>Stanley Schwartz, Jr.</x:v>
      </x:c>
      <x:c r="H223" s="303" t="str">
        <x:v>250 E Broad St., Columbus, OH 43215</x:v>
      </x:c>
      <x:c r="I223" s="303" t="str">
        <x:v>primary_image_confirmed</x:v>
      </x:c>
      <x:c r="J223" s="303" t="str">
        <x:v>Schwartz was incorporator and original agent</x:v>
      </x:c>
      <x:c r="K223" s="303" t="str">
        <x:v>No officer, shareholder, parcel, Epstein, Wexner, or Snow is named.</x:v>
      </x:c>
    </x:row>
    <x:row r="224" ht="58" customHeight="1">
      <x:c r="A224" s="303" t="str">
        <x:v>Park Properties, Inc.</x:v>
      </x:c>
      <x:c r="B224" s="312" t="n">
        <x:v>31352.5</x:v>
      </x:c>
      <x:c r="C224" s="303" t="str">
        <x:v>agent address change</x:v>
      </x:c>
      <x:c r="D224" s="315" t="str">
        <x:v>F771_0256</x:v>
      </x:c>
      <x:c r="E224" s="303" t="str">
        <x:v>Ohio Secretary of State</x:v>
      </x:c>
      <x:c r="F224" s="303" t="str">
        <x:v>Schwartz agent address moved to 41 S High St.</x:v>
      </x:c>
      <x:c r="G224" s="303" t="str">
        <x:v>Stanley Schwartz, Jr.; Harold L. Levin</x:v>
      </x:c>
      <x:c r="H224" s="303" t="str">
        <x:v>41 S High St., Columbus, OH 43215</x:v>
      </x:c>
      <x:c r="I224" s="303" t="str">
        <x:v>primary_image_confirmed</x:v>
      </x:c>
      <x:c r="J224" s="303" t="str">
        <x:v>Levin signed the filing as vice president</x:v>
      </x:c>
      <x:c r="K224" s="303" t="str">
        <x:v>An agent-address change does not establish beneficial ownership.</x:v>
      </x:c>
    </x:row>
    <x:row r="225" ht="58" customHeight="1">
      <x:c r="A225" s="303" t="str">
        <x:v>C-Wren Investment Corp.</x:v>
      </x:c>
      <x:c r="B225" s="312" t="n">
        <x:v>33507.5</x:v>
      </x:c>
      <x:c r="C225" s="303" t="str">
        <x:v>domestic articles</x:v>
      </x:c>
      <x:c r="D225" s="315" t="str">
        <x:v>H205_0694</x:v>
      </x:c>
      <x:c r="E225" s="303" t="str">
        <x:v>Ohio Secretary of State</x:v>
      </x:c>
      <x:c r="F225" s="303" t="str">
        <x:v>Formation and original statutory-agent appointment</x:v>
      </x:c>
      <x:c r="G225" s="303" t="str">
        <x:v>Ted B. Hipsher; Dorothy Snow</x:v>
      </x:c>
      <x:c r="H225" s="303" t="str">
        <x:v>41 S High St., Suite 2300, Columbus, OH 43215</x:v>
      </x:c>
      <x:c r="I225" s="303" t="str">
        <x:v>primary_image_confirmed</x:v>
      </x:c>
      <x:c r="J225" s="303" t="str">
        <x:v>Hipsher was incorporator and Snow original agent</x:v>
      </x:c>
      <x:c r="K225" s="303" t="str">
        <x:v>The articles identify no shareholder, parcel, Epstein, or Wexner.</x:v>
      </x:c>
    </x:row>
    <x:row r="226" ht="58" customHeight="1">
      <x:c r="A226" s="303" t="str">
        <x:v>Cherry Bottom Investors, Inc.</x:v>
      </x:c>
      <x:c r="B226" s="312" t="n">
        <x:v>32204.5</x:v>
      </x:c>
      <x:c r="C226" s="303" t="str">
        <x:v>domestic articles</x:v>
      </x:c>
      <x:c r="D226" s="315" t="str">
        <x:v>G337_1113</x:v>
      </x:c>
      <x:c r="E226" s="303" t="str">
        <x:v>Ohio Secretary of State</x:v>
      </x:c>
      <x:c r="F226" s="303" t="str">
        <x:v>Formation and original statutory-agent appointment</x:v>
      </x:c>
      <x:c r="G226" s="303" t="str">
        <x:v>Ted B. Hipsher; Dorothy Snow</x:v>
      </x:c>
      <x:c r="H226" s="303" t="str">
        <x:v>41 S High St., Suite 2300, Columbus, OH 43215</x:v>
      </x:c>
      <x:c r="I226" s="303" t="str">
        <x:v>primary_image_confirmed</x:v>
      </x:c>
      <x:c r="J226" s="303" t="str">
        <x:v>Hipsher was incorporator and Snow original agent</x:v>
      </x:c>
      <x:c r="K226" s="303" t="str">
        <x:v>The articles identify no initial officer, director, shareholder, parcel, Epstein, or Wexner.</x:v>
      </x:c>
    </x:row>
    <x:row r="227" ht="58" customHeight="1">
      <x:c r="A227" s="303" t="str">
        <x:v>Snowberry Hills, Inc.</x:v>
      </x:c>
      <x:c r="B227" s="312" t="n">
        <x:v>32118.5</x:v>
      </x:c>
      <x:c r="C227" s="303" t="str">
        <x:v>domestic articles and original-agent appointment</x:v>
      </x:c>
      <x:c r="D227" s="315" t="str">
        <x:v>G288_0312</x:v>
      </x:c>
      <x:c r="E227" s="303" t="str">
        <x:v>Ohio Secretary of State</x:v>
      </x:c>
      <x:c r="F227" s="303" t="str">
        <x:v>Formation and original statutory-agent appointment</x:v>
      </x:c>
      <x:c r="G227" s="303" t="str">
        <x:v>Dorothy Snow</x:v>
      </x:c>
      <x:c r="H227" s="303" t="str">
        <x:v>Principal office: Columbus, Franklin County; c/o SKWR, 41 S. High St., Suite 2300, Columbus, OH 43215</x:v>
      </x:c>
      <x:c r="I227" s="303" t="str">
        <x:v>primary_image_confirmed</x:v>
      </x:c>
      <x:c r="J227" s="303" t="str">
        <x:v>Snow signed as incorporator and accepted appointment as original agent; the corporation authorized 750 no-par common shares and used a generic lawful-purpose clause</x:v>
      </x:c>
      <x:c r="K227" s="303" t="str">
        <x:v>The portal/certificate date predates the 1987-12-10 execution date printed in the articles; no officer, director, shareholder, parcel, Epstein, or Wexner is identified.</x:v>
      </x:c>
    </x:row>
    <x:row r="228" ht="58" customHeight="1">
      <x:c r="A228" s="303" t="str">
        <x:v>Snowberry Hills, Inc.</x:v>
      </x:c>
      <x:c r="B228" s="312" t="n">
        <x:v>32864.5</x:v>
      </x:c>
      <x:c r="C228" s="303" t="str">
        <x:v>certificate and agreement of merger</x:v>
      </x:c>
      <x:c r="D228" s="315" t="str">
        <x:v>G774_0107</x:v>
      </x:c>
      <x:c r="E228" s="303" t="str">
        <x:v>Ohio Secretary of State</x:v>
      </x:c>
      <x:c r="F228" s="303" t="str">
        <x:v>Predecessor merged into Architonics</x:v>
      </x:c>
      <x:c r="G228" s="303" t="str">
        <x:v>Richard W. Rubenstein; Dorothy Snow; unnamed sole shareholder</x:v>
      </x:c>
      <x:c r="H228" s="303" t="str">
        <x:v>Merger returned to SKWR, 41 S. High St., Columbus, OH 43215; no parcel stated</x:v>
      </x:c>
      <x:c r="I228" s="303" t="str">
        <x:v>primary_image_confirmed</x:v>
      </x:c>
      <x:c r="J228" s="303" t="str">
        <x:v>The agreement names Snowberry as a merged corporation, Architonics as survivor, Rubenstein as vice president, and Snow as secretary; all assets and property vested in the survivor</x:v>
      </x:c>
      <x:c r="K228" s="303" t="str">
        <x:v>The sole shareholder is unnamed. Statutory vesting creates a successor-search rule but does not prove Snowberry owned land or identify a parcel.</x:v>
      </x:c>
    </x:row>
    <x:row r="229" ht="58" customHeight="1">
      <x:c r="A229" s="303" t="str">
        <x:v>Snowberry Hills, Inc.</x:v>
      </x:c>
      <x:c r="B229" s="312" t="n">
        <x:v>32864.5</x:v>
      </x:c>
      <x:c r="C229" s="303" t="str">
        <x:v>party-specific MEX status packet</x:v>
      </x:c>
      <x:c r="D229" s="315" t="str">
        <x:v>G774_0167</x:v>
      </x:c>
      <x:c r="E229" s="303" t="str">
        <x:v>Ohio Secretary of State</x:v>
      </x:c>
      <x:c r="F229" s="303" t="str">
        <x:v>Merged-out status confirmation</x:v>
      </x:c>
      <x:c r="G229" s="303" t="str">
        <x:v>Schwartz, Kelm, Warren &amp; Rubenstein; L. J. Evans</x:v>
      </x:c>
      <x:c r="H229" s="303" t="str">
        <x:v>41 S. High St., Columbus, OH 43215</x:v>
      </x:c>
      <x:c r="I229" s="303" t="str">
        <x:v>primary_image_confirmed</x:v>
      </x:c>
      <x:c r="J229" s="303" t="str">
        <x:v>The three-page packet confirms MEX status for charter 713925 and was processed 1990-01-10 under receipt 48743</x:v>
      </x:c>
      <x:c r="K229" s="303" t="str">
        <x:v>The stub names no survivor, other constituent, shareholder, officer, parcel, Epstein, or Wexner; the Architonics edge comes from G774_0107.</x:v>
      </x:c>
    </x:row>
    <x:row r="230" ht="58" customHeight="1">
      <x:c r="A230" s="303" t="str">
        <x:v>Briarpatch Fields, Inc.</x:v>
      </x:c>
      <x:c r="B230" s="312" t="n">
        <x:v>32121.5</x:v>
      </x:c>
      <x:c r="C230" s="303" t="str">
        <x:v>domestic articles and original-agent appointment</x:v>
      </x:c>
      <x:c r="D230" s="315" t="str">
        <x:v>G287_0753</x:v>
      </x:c>
      <x:c r="E230" s="303" t="str">
        <x:v>Ohio Secretary of State</x:v>
      </x:c>
      <x:c r="F230" s="303" t="str">
        <x:v>Formation and original statutory-agent appointment</x:v>
      </x:c>
      <x:c r="G230" s="303" t="str">
        <x:v>Dorothy Snow</x:v>
      </x:c>
      <x:c r="H230" s="303" t="str">
        <x:v>Principal office: Columbus, Franklin County; 41 S. High St., Suite 2300, Columbus, OH 43215</x:v>
      </x:c>
      <x:c r="I230" s="303" t="str">
        <x:v>primary_image_confirmed</x:v>
      </x:c>
      <x:c r="J230" s="303" t="str">
        <x:v>Snow signed as incorporator and accepted appointment as original agent; the corporation authorized 750 no-par common shares and used a generic lawful-purpose clause</x:v>
      </x:c>
      <x:c r="K230" s="303" t="str">
        <x:v>Fields in the name is not proof of property. No officer, director, shareholder, parcel, Epstein, or Wexner is identified.</x:v>
      </x:c>
    </x:row>
    <x:row r="231" ht="58" customHeight="1">
      <x:c r="A231" s="303" t="str">
        <x:v>Briarpatch Fields, Inc.</x:v>
      </x:c>
      <x:c r="B231" s="312" t="n">
        <x:v>32864.5</x:v>
      </x:c>
      <x:c r="C231" s="303" t="str">
        <x:v>certificate and agreement of merger</x:v>
      </x:c>
      <x:c r="D231" s="315" t="str">
        <x:v>G774_0107</x:v>
      </x:c>
      <x:c r="E231" s="303" t="str">
        <x:v>Ohio Secretary of State</x:v>
      </x:c>
      <x:c r="F231" s="303" t="str">
        <x:v>Predecessor merged into Architonics</x:v>
      </x:c>
      <x:c r="G231" s="303" t="str">
        <x:v>Richard W. Rubenstein; Dorothy Snow; unnamed sole shareholder</x:v>
      </x:c>
      <x:c r="H231" s="303" t="str">
        <x:v>Merger returned to SKWR, 41 S. High St., Columbus, OH 43215; no parcel stated</x:v>
      </x:c>
      <x:c r="I231" s="303" t="str">
        <x:v>primary_image_confirmed</x:v>
      </x:c>
      <x:c r="J231" s="303" t="str">
        <x:v>The agreement names Briarpatch as a merged corporation, Architonics as survivor, Rubenstein as vice president, and Snow as secretary; all assets and property vested in the survivor</x:v>
      </x:c>
      <x:c r="K231" s="303" t="str">
        <x:v>The sole shareholder is unnamed. The agreement does not prove Briarpatch owned land or identify any asset.</x:v>
      </x:c>
    </x:row>
    <x:row r="232" ht="58" customHeight="1">
      <x:c r="A232" s="303" t="str">
        <x:v>Briarpatch Fields, Inc.</x:v>
      </x:c>
      <x:c r="B232" s="312" t="n">
        <x:v>32864.5</x:v>
      </x:c>
      <x:c r="C232" s="303" t="str">
        <x:v>party-specific MEX status packet</x:v>
      </x:c>
      <x:c r="D232" s="315" t="str">
        <x:v>G774_0119</x:v>
      </x:c>
      <x:c r="E232" s="303" t="str">
        <x:v>Ohio Secretary of State</x:v>
      </x:c>
      <x:c r="F232" s="303" t="str">
        <x:v>Merged-out status confirmation</x:v>
      </x:c>
      <x:c r="G232" s="303" t="str">
        <x:v>Schwartz, Kelm, Warren &amp; Rubenstein; L. J. Evans</x:v>
      </x:c>
      <x:c r="H232" s="303" t="str">
        <x:v>41 S. High St., Columbus, OH 43215</x:v>
      </x:c>
      <x:c r="I232" s="303" t="str">
        <x:v>primary_image_confirmed</x:v>
      </x:c>
      <x:c r="J232" s="303" t="str">
        <x:v>The three-page packet confirms MEX status for charter 713843 and was processed 1990-01-10 under receipt 48727</x:v>
      </x:c>
      <x:c r="K232" s="303" t="str">
        <x:v>The stub names no survivor, other constituent, shareholder, officer, parcel, Epstein, or Wexner; the Architonics edge comes from G774_0107.</x:v>
      </x:c>
    </x:row>
    <x:row r="233" ht="58" customHeight="1">
      <x:c r="A233" s="303" t="str">
        <x:v>Candleberry Cove, Inc.</x:v>
      </x:c>
      <x:c r="B233" s="312" t="n">
        <x:v>32121.5</x:v>
      </x:c>
      <x:c r="C233" s="303" t="str">
        <x:v>domestic articles and original-agent appointment</x:v>
      </x:c>
      <x:c r="D233" s="315" t="str">
        <x:v>G287_0722</x:v>
      </x:c>
      <x:c r="E233" s="303" t="str">
        <x:v>Ohio Secretary of State</x:v>
      </x:c>
      <x:c r="F233" s="303" t="str">
        <x:v>Formation and original statutory-agent appointment</x:v>
      </x:c>
      <x:c r="G233" s="303" t="str">
        <x:v>Dorothy Snow; Len Loraditch</x:v>
      </x:c>
      <x:c r="H233" s="303" t="str">
        <x:v>Principal office: Columbus, Franklin County; 41 S. High St., Suite 2300, Columbus, OH 43215</x:v>
      </x:c>
      <x:c r="I233" s="303" t="str">
        <x:v>primary_image_confirmed</x:v>
      </x:c>
      <x:c r="J233" s="303" t="str">
        <x:v>Snow signed as incorporator and accepted appointment as original agent; an extra correspondence cover identifies Len Loraditch as an SKWR legal assistant</x:v>
      </x:c>
      <x:c r="K233" s="303" t="str">
        <x:v>Cove in the name and the counsel cover are discovery clues only. No officer, director, shareholder, parcel, Epstein, or Wexner is identified.</x:v>
      </x:c>
    </x:row>
    <x:row r="234" ht="58" customHeight="1">
      <x:c r="A234" s="303" t="str">
        <x:v>Candleberry Cove, Inc.</x:v>
      </x:c>
      <x:c r="B234" s="312" t="n">
        <x:v>32864.5</x:v>
      </x:c>
      <x:c r="C234" s="303" t="str">
        <x:v>certificate and agreement of merger</x:v>
      </x:c>
      <x:c r="D234" s="315" t="str">
        <x:v>G774_0107</x:v>
      </x:c>
      <x:c r="E234" s="303" t="str">
        <x:v>Ohio Secretary of State</x:v>
      </x:c>
      <x:c r="F234" s="303" t="str">
        <x:v>Predecessor merged into Architonics</x:v>
      </x:c>
      <x:c r="G234" s="303" t="str">
        <x:v>Richard W. Rubenstein; Dorothy Snow; unnamed sole shareholder</x:v>
      </x:c>
      <x:c r="H234" s="303" t="str">
        <x:v>Merger returned to SKWR, 41 S. High St., Columbus, OH 43215; no parcel stated</x:v>
      </x:c>
      <x:c r="I234" s="303" t="str">
        <x:v>primary_image_confirmed</x:v>
      </x:c>
      <x:c r="J234" s="303" t="str">
        <x:v>The agreement names Candleberry as a merged corporation, Architonics as survivor, Rubenstein as vice president, and Snow as secretary; all assets and property vested in the survivor</x:v>
      </x:c>
      <x:c r="K234" s="303" t="str">
        <x:v>The sole shareholder is unnamed. The agreement does not prove Candleberry owned land or identify any asset.</x:v>
      </x:c>
    </x:row>
    <x:row r="235" ht="58" customHeight="1">
      <x:c r="A235" s="303" t="str">
        <x:v>Candleberry Cove, Inc.</x:v>
      </x:c>
      <x:c r="B235" s="312" t="n">
        <x:v>32864.5</x:v>
      </x:c>
      <x:c r="C235" s="303" t="str">
        <x:v>party-specific MEX status packet</x:v>
      </x:c>
      <x:c r="D235" s="315" t="str">
        <x:v>G774_0125</x:v>
      </x:c>
      <x:c r="E235" s="303" t="str">
        <x:v>Ohio Secretary of State</x:v>
      </x:c>
      <x:c r="F235" s="303" t="str">
        <x:v>Merged-out status confirmation</x:v>
      </x:c>
      <x:c r="G235" s="303" t="str">
        <x:v>Schwartz, Kelm, Warren &amp; Rubenstein; L. J. Evans</x:v>
      </x:c>
      <x:c r="H235" s="303" t="str">
        <x:v>41 S. High St., Columbus, OH 43215</x:v>
      </x:c>
      <x:c r="I235" s="303" t="str">
        <x:v>primary_image_confirmed</x:v>
      </x:c>
      <x:c r="J235" s="303" t="str">
        <x:v>The three-page packet confirms MEX status for charter 713838 and was processed 1990-01-10 under receipt 48729</x:v>
      </x:c>
      <x:c r="K235" s="303" t="str">
        <x:v>The stub names no survivor, other constituent, shareholder, officer, parcel, Epstein, or Wexner; the Architonics edge comes from G774_0107.</x:v>
      </x:c>
    </x:row>
    <x:row r="236" ht="58" customHeight="1">
      <x:c r="A236" s="303" t="str">
        <x:v>Frontier Traders, Inc.</x:v>
      </x:c>
      <x:c r="B236" s="312" t="n">
        <x:v>32122.5</x:v>
      </x:c>
      <x:c r="C236" s="303" t="str">
        <x:v>domestic articles and original-agent appointment</x:v>
      </x:c>
      <x:c r="D236" s="315" t="str">
        <x:v>G288_0294</x:v>
      </x:c>
      <x:c r="E236" s="303" t="str">
        <x:v>Ohio Secretary of State</x:v>
      </x:c>
      <x:c r="F236" s="303" t="str">
        <x:v>Formation and original statutory-agent appointment</x:v>
      </x:c>
      <x:c r="G236" s="303" t="str">
        <x:v>Dorothy Snow</x:v>
      </x:c>
      <x:c r="H236" s="303" t="str">
        <x:v>Principal office: Columbus, Franklin County; c/o SKWR, 41 S. High St., Suite 2300, Columbus, OH 43215</x:v>
      </x:c>
      <x:c r="I236" s="303" t="str">
        <x:v>primary_image_confirmed</x:v>
      </x:c>
      <x:c r="J236" s="303" t="str">
        <x:v>Snow signed as incorporator and accepted appointment as original agent; the corporation authorized 750 no-par common shares and used a generic lawful-purpose clause</x:v>
      </x:c>
      <x:c r="K236" s="303" t="str">
        <x:v>The articles identify no officer, director, shareholder, property, parcel, Epstein, or Wexner.</x:v>
      </x:c>
    </x:row>
    <x:row r="237" ht="58" customHeight="1">
      <x:c r="A237" s="303" t="str">
        <x:v>Frontier Traders, Inc.</x:v>
      </x:c>
      <x:c r="B237" s="312" t="n">
        <x:v>32864.5</x:v>
      </x:c>
      <x:c r="C237" s="303" t="str">
        <x:v>certificate and agreement of merger</x:v>
      </x:c>
      <x:c r="D237" s="315" t="str">
        <x:v>G774_0107</x:v>
      </x:c>
      <x:c r="E237" s="303" t="str">
        <x:v>Ohio Secretary of State</x:v>
      </x:c>
      <x:c r="F237" s="303" t="str">
        <x:v>Predecessor merged into Architonics</x:v>
      </x:c>
      <x:c r="G237" s="303" t="str">
        <x:v>Richard W. Rubenstein; Dorothy Snow; unnamed sole shareholder</x:v>
      </x:c>
      <x:c r="H237" s="303" t="str">
        <x:v>Merger returned to SKWR, 41 S. High St., Columbus, OH 43215; no parcel stated</x:v>
      </x:c>
      <x:c r="I237" s="303" t="str">
        <x:v>primary_image_confirmed</x:v>
      </x:c>
      <x:c r="J237" s="303" t="str">
        <x:v>The agreement names Frontier as a merged corporation, Architonics as survivor, Rubenstein as vice president, and Snow as secretary; all assets and property vested in the survivor</x:v>
      </x:c>
      <x:c r="K237" s="303" t="str">
        <x:v>The sole shareholder is unnamed. The agreement does not prove Frontier owned land or identify any asset.</x:v>
      </x:c>
    </x:row>
    <x:row r="238" ht="58" customHeight="1">
      <x:c r="A238" s="303" t="str">
        <x:v>Frontier Traders, Inc.</x:v>
      </x:c>
      <x:c r="B238" s="312" t="n">
        <x:v>32864.5</x:v>
      </x:c>
      <x:c r="C238" s="303" t="str">
        <x:v>party-specific MEX status packet</x:v>
      </x:c>
      <x:c r="D238" s="315" t="str">
        <x:v>G774_0137</x:v>
      </x:c>
      <x:c r="E238" s="303" t="str">
        <x:v>Ohio Secretary of State</x:v>
      </x:c>
      <x:c r="F238" s="303" t="str">
        <x:v>Merged-out status confirmation</x:v>
      </x:c>
      <x:c r="G238" s="303" t="str">
        <x:v>Schwartz, Kelm, Warren &amp; Rubenstein; L. J. Evans</x:v>
      </x:c>
      <x:c r="H238" s="303" t="str">
        <x:v>41 S. High St., Columbus, OH 43215</x:v>
      </x:c>
      <x:c r="I238" s="303" t="str">
        <x:v>primary_image_confirmed</x:v>
      </x:c>
      <x:c r="J238" s="303" t="str">
        <x:v>The three-page packet confirms MEX status for charter 713922 and was processed 1990-01-10 under receipt 48733</x:v>
      </x:c>
      <x:c r="K238" s="303" t="str">
        <x:v>The stub names no survivor, other constituent, shareholder, officer, parcel, Epstein, or Wexner; the Architonics edge comes from G774_0107.</x:v>
      </x:c>
    </x:row>
    <x:row r="239" ht="58" customHeight="1">
      <x:c r="A239" s="303" t="str">
        <x:v>Kitzmiller Properties, Inc.</x:v>
      </x:c>
      <x:c r="B239" s="312" t="n">
        <x:v>32122.5</x:v>
      </x:c>
      <x:c r="C239" s="303" t="str">
        <x:v>domestic articles and original-agent appointment</x:v>
      </x:c>
      <x:c r="D239" s="315" t="str">
        <x:v>G288_0300</x:v>
      </x:c>
      <x:c r="E239" s="303" t="str">
        <x:v>Ohio Secretary of State</x:v>
      </x:c>
      <x:c r="F239" s="303" t="str">
        <x:v>Formation and original statutory-agent appointment</x:v>
      </x:c>
      <x:c r="G239" s="303" t="str">
        <x:v>Dorothy Snow</x:v>
      </x:c>
      <x:c r="H239" s="303" t="str">
        <x:v>Principal office: Columbus, Franklin County; c/o SKWR, 41 S. High St., Suite 2300, Columbus, OH 43215</x:v>
      </x:c>
      <x:c r="I239" s="303" t="str">
        <x:v>primary_image_confirmed</x:v>
      </x:c>
      <x:c r="J239" s="303" t="str">
        <x:v>Snow signed as incorporator and accepted appointment as original agent; the corporation authorized 750 no-par common shares and used a generic lawful-purpose clause</x:v>
      </x:c>
      <x:c r="K239" s="303" t="str">
        <x:v>Properties in the name is not proof of landholding. No officer, director, shareholder, parcel, Epstein, or Wexner is identified.</x:v>
      </x:c>
    </x:row>
    <x:row r="240" ht="58" customHeight="1">
      <x:c r="A240" s="303" t="str">
        <x:v>Kitzmiller Properties, Inc.</x:v>
      </x:c>
      <x:c r="B240" s="312" t="n">
        <x:v>32864.5</x:v>
      </x:c>
      <x:c r="C240" s="303" t="str">
        <x:v>certificate and agreement of merger</x:v>
      </x:c>
      <x:c r="D240" s="315" t="str">
        <x:v>G774_0107</x:v>
      </x:c>
      <x:c r="E240" s="303" t="str">
        <x:v>Ohio Secretary of State</x:v>
      </x:c>
      <x:c r="F240" s="303" t="str">
        <x:v>Predecessor merged into Architonics</x:v>
      </x:c>
      <x:c r="G240" s="303" t="str">
        <x:v>Richard W. Rubenstein; Dorothy Snow; unnamed sole shareholder</x:v>
      </x:c>
      <x:c r="H240" s="303" t="str">
        <x:v>Merger returned to SKWR, 41 S. High St., Columbus, OH 43215; no parcel stated</x:v>
      </x:c>
      <x:c r="I240" s="303" t="str">
        <x:v>primary_image_confirmed</x:v>
      </x:c>
      <x:c r="J240" s="303" t="str">
        <x:v>The agreement names Kitzmiller as a merged corporation, Architonics as survivor, Rubenstein as vice president, and Snow as secretary; all assets and property vested in the survivor</x:v>
      </x:c>
      <x:c r="K240" s="303" t="str">
        <x:v>The sole shareholder is unnamed. The agreement does not prove Kitzmiller owned land or identify any asset.</x:v>
      </x:c>
    </x:row>
    <x:row r="241" ht="58" customHeight="1">
      <x:c r="A241" s="303" t="str">
        <x:v>Kitzmiller Properties, Inc.</x:v>
      </x:c>
      <x:c r="B241" s="312" t="n">
        <x:v>32864.5</x:v>
      </x:c>
      <x:c r="C241" s="303" t="str">
        <x:v>party-specific MEX status packet</x:v>
      </x:c>
      <x:c r="D241" s="315" t="str">
        <x:v>G774_0143</x:v>
      </x:c>
      <x:c r="E241" s="303" t="str">
        <x:v>Ohio Secretary of State</x:v>
      </x:c>
      <x:c r="F241" s="303" t="str">
        <x:v>Merged-out status confirmation</x:v>
      </x:c>
      <x:c r="G241" s="303" t="str">
        <x:v>Schwartz, Kelm, Warren &amp; Rubenstein; L. J. Evans</x:v>
      </x:c>
      <x:c r="H241" s="303" t="str">
        <x:v>41 S. High St., Columbus, OH 43215</x:v>
      </x:c>
      <x:c r="I241" s="303" t="str">
        <x:v>primary_image_confirmed</x:v>
      </x:c>
      <x:c r="J241" s="303" t="str">
        <x:v>The three-page packet confirms MEX status for charter 713923 and was processed 1990-01-10 under receipt 48735</x:v>
      </x:c>
      <x:c r="K241" s="303" t="str">
        <x:v>The stub names no survivor, other constituent, shareholder, officer, parcel, Epstein, or Wexner; the Architonics edge comes from G774_0107.</x:v>
      </x:c>
    </x:row>
    <x:row r="242" ht="58" customHeight="1">
      <x:c r="A242" s="303" t="str">
        <x:v>Blacklick Properties, Inc.</x:v>
      </x:c>
      <x:c r="B242" s="312" t="n">
        <x:v>32125.5</x:v>
      </x:c>
      <x:c r="C242" s="303" t="str">
        <x:v>domestic articles and original-agent appointment</x:v>
      </x:c>
      <x:c r="D242" s="315" t="str">
        <x:v>G290_1418</x:v>
      </x:c>
      <x:c r="E242" s="303" t="str">
        <x:v>Ohio Secretary of State</x:v>
      </x:c>
      <x:c r="F242" s="303" t="str">
        <x:v>Formation and original statutory-agent appointment</x:v>
      </x:c>
      <x:c r="G242" s="303" t="str">
        <x:v>Dorothy Snow</x:v>
      </x:c>
      <x:c r="H242" s="303" t="str">
        <x:v>Principal office: Columbus, Franklin County; c/o SKWR, 41 S. High St., Suite 2300, Columbus, OH 43215</x:v>
      </x:c>
      <x:c r="I242" s="303" t="str">
        <x:v>primary_image_confirmed</x:v>
      </x:c>
      <x:c r="J242" s="303" t="str">
        <x:v>Snow signed as incorporator and accepted appointment as original agent; the corporation authorized 750 no-par common shares and used a generic lawful-purpose clause</x:v>
      </x:c>
      <x:c r="K242" s="303" t="str">
        <x:v>Blacklick/Properties is a recorder-search signal, not property proof. No officer, director, shareholder, parcel, Epstein, or Wexner is identified.</x:v>
      </x:c>
    </x:row>
    <x:row r="243" ht="58" customHeight="1">
      <x:c r="A243" s="303" t="str">
        <x:v>Blacklick Properties, Inc.</x:v>
      </x:c>
      <x:c r="B243" s="312" t="n">
        <x:v>32864.5</x:v>
      </x:c>
      <x:c r="C243" s="303" t="str">
        <x:v>certificate and agreement of merger</x:v>
      </x:c>
      <x:c r="D243" s="315" t="str">
        <x:v>G774_0107</x:v>
      </x:c>
      <x:c r="E243" s="303" t="str">
        <x:v>Ohio Secretary of State</x:v>
      </x:c>
      <x:c r="F243" s="303" t="str">
        <x:v>Predecessor merged into Architonics</x:v>
      </x:c>
      <x:c r="G243" s="303" t="str">
        <x:v>Richard W. Rubenstein; Dorothy Snow; unnamed sole shareholder</x:v>
      </x:c>
      <x:c r="H243" s="303" t="str">
        <x:v>Merger returned to SKWR, 41 S. High St., Columbus, OH 43215; no parcel stated</x:v>
      </x:c>
      <x:c r="I243" s="303" t="str">
        <x:v>primary_image_confirmed</x:v>
      </x:c>
      <x:c r="J243" s="303" t="str">
        <x:v>The agreement names Blacklick as a merged corporation, Architonics as survivor, Rubenstein as vice president, and Snow as secretary; all assets and property vested in the survivor</x:v>
      </x:c>
      <x:c r="K243" s="303" t="str">
        <x:v>The sole shareholder is unnamed. The agreement does not prove Blacklick owned land or identify any asset.</x:v>
      </x:c>
    </x:row>
    <x:row r="244" ht="58" customHeight="1">
      <x:c r="A244" s="303" t="str">
        <x:v>Blacklick Properties, Inc.</x:v>
      </x:c>
      <x:c r="B244" s="312" t="n">
        <x:v>32864.5</x:v>
      </x:c>
      <x:c r="C244" s="303" t="str">
        <x:v>party-specific MEX status packet</x:v>
      </x:c>
      <x:c r="D244" s="315" t="str">
        <x:v>G774_0116</x:v>
      </x:c>
      <x:c r="E244" s="303" t="str">
        <x:v>Ohio Secretary of State</x:v>
      </x:c>
      <x:c r="F244" s="303" t="str">
        <x:v>Merged-out status confirmation</x:v>
      </x:c>
      <x:c r="G244" s="303" t="str">
        <x:v>Schwartz, Kelm, Warren &amp; Rubenstein; L. J. Evans</x:v>
      </x:c>
      <x:c r="H244" s="303" t="str">
        <x:v>41 S. High St., Columbus, OH 43215</x:v>
      </x:c>
      <x:c r="I244" s="303" t="str">
        <x:v>primary_image_confirmed</x:v>
      </x:c>
      <x:c r="J244" s="303" t="str">
        <x:v>The three-page packet confirms MEX status for charter 710873 and was processed 1990-01-10 under receipt 48726</x:v>
      </x:c>
      <x:c r="K244" s="303" t="str">
        <x:v>The stub names no survivor, other constituent, shareholder, officer, parcel, Epstein, or Wexner; the Architonics edge comes from G774_0107.</x:v>
      </x:c>
    </x:row>
    <x:row r="245" ht="58" customHeight="1">
      <x:c r="A245" s="303" t="str">
        <x:v>Villa Development Corp.</x:v>
      </x:c>
      <x:c r="B245" s="312" t="n">
        <x:v>32211.5</x:v>
      </x:c>
      <x:c r="C245" s="303" t="str">
        <x:v>domestic articles and original-agent appointment</x:v>
      </x:c>
      <x:c r="D245" s="315" t="str">
        <x:v>G343_0252</x:v>
      </x:c>
      <x:c r="E245" s="303" t="str">
        <x:v>Ohio Secretary of State</x:v>
      </x:c>
      <x:c r="F245" s="303" t="str">
        <x:v>Formation and original statutory-agent appointment</x:v>
      </x:c>
      <x:c r="G245" s="303" t="str">
        <x:v>Dorothy Snow</x:v>
      </x:c>
      <x:c r="H245" s="303" t="str">
        <x:v>Principal office: Columbus, Franklin County; c/o SKWR, 41 S. High St., Suite 2300, Columbus, OH 43215</x:v>
      </x:c>
      <x:c r="I245" s="303" t="str">
        <x:v>primary_image_confirmed</x:v>
      </x:c>
      <x:c r="J245" s="303" t="str">
        <x:v>Snow signed as incorporator and accepted appointment as original agent; the corporation authorized 750 no-par common shares and used a generic lawful-purpose clause</x:v>
      </x:c>
      <x:c r="K245" s="303" t="str">
        <x:v>The articles were signed 1988-03-07, the certificate and live history use 1988-03-09, and the processing receipt is dated 1988-03-14; preserve those distinct dates. No officer, director, shareholder, parcel, Epstein, or Wexner is identified.</x:v>
      </x:c>
    </x:row>
    <x:row r="246" ht="58" customHeight="1">
      <x:c r="A246" s="303" t="str">
        <x:v>Villa Development Corp.</x:v>
      </x:c>
      <x:c r="B246" s="312" t="n">
        <x:v>32864.5</x:v>
      </x:c>
      <x:c r="C246" s="303" t="str">
        <x:v>certificate and agreement of merger</x:v>
      </x:c>
      <x:c r="D246" s="315" t="str">
        <x:v>G774_0107</x:v>
      </x:c>
      <x:c r="E246" s="303" t="str">
        <x:v>Ohio Secretary of State</x:v>
      </x:c>
      <x:c r="F246" s="303" t="str">
        <x:v>Predecessor merged into Architonics</x:v>
      </x:c>
      <x:c r="G246" s="303" t="str">
        <x:v>Richard W. Rubenstein; Dorothy Snow; unnamed sole shareholder</x:v>
      </x:c>
      <x:c r="H246" s="303" t="str">
        <x:v>Merger returned to SKWR, 41 S. High St., Columbus, OH 43215; no parcel stated</x:v>
      </x:c>
      <x:c r="I246" s="303" t="str">
        <x:v>primary_image_confirmed</x:v>
      </x:c>
      <x:c r="J246" s="303" t="str">
        <x:v>The agreement names Villa Development Corp. as a merged corporation, Architonics as survivor, Rubenstein as vice president, and Snow as secretary; all assets and property vested in the survivor</x:v>
      </x:c>
      <x:c r="K246" s="303" t="str">
        <x:v>The sole shareholder is unnamed. Statutory vesting creates a successor-search rule but does not prove the predecessor owned land or identify a parcel.</x:v>
      </x:c>
    </x:row>
    <x:row r="247" ht="58" customHeight="1">
      <x:c r="A247" s="303" t="str">
        <x:v>Villa Development Corp.</x:v>
      </x:c>
      <x:c r="B247" s="312" t="n">
        <x:v>32864.5</x:v>
      </x:c>
      <x:c r="C247" s="303" t="str">
        <x:v>party-specific MEX status packet</x:v>
      </x:c>
      <x:c r="D247" s="315" t="str">
        <x:v>G774_0182</x:v>
      </x:c>
      <x:c r="E247" s="303" t="str">
        <x:v>Ohio Secretary of State</x:v>
      </x:c>
      <x:c r="F247" s="303" t="str">
        <x:v>Merged-out status confirmation</x:v>
      </x:c>
      <x:c r="G247" s="303" t="str">
        <x:v>Schwartz, Kelm, Warren &amp; Rubenstein; L. J. Evans</x:v>
      </x:c>
      <x:c r="H247" s="303" t="str">
        <x:v>41 S. High St., Columbus, OH 43215</x:v>
      </x:c>
      <x:c r="I247" s="303" t="str">
        <x:v>primary_image_confirmed</x:v>
      </x:c>
      <x:c r="J247" s="303" t="str">
        <x:v>The three-page packet confirms MEX status for charter 720364, was certified 1989-12-22, and was processed 1990-01-10</x:v>
      </x:c>
      <x:c r="K247" s="303" t="str">
        <x:v>The stub names no survivor, other constituent, shareholder, officer, parcel, Epstein, or Wexner; the Architonics edge comes from G774_0107.</x:v>
      </x:c>
    </x:row>
    <x:row r="248" ht="58" customHeight="1">
      <x:c r="A248" s="303" t="str">
        <x:v>Donner Development Company</x:v>
      </x:c>
      <x:c r="B248" s="312" t="n">
        <x:v>32276.5</x:v>
      </x:c>
      <x:c r="C248" s="303" t="str">
        <x:v>domestic articles and original-agent appointment</x:v>
      </x:c>
      <x:c r="D248" s="315" t="str">
        <x:v>G379_0217</x:v>
      </x:c>
      <x:c r="E248" s="303" t="str">
        <x:v>Ohio Secretary of State</x:v>
      </x:c>
      <x:c r="F248" s="303" t="str">
        <x:v>Formation and original statutory-agent appointment</x:v>
      </x:c>
      <x:c r="G248" s="303" t="str">
        <x:v>Dorothy Snow</x:v>
      </x:c>
      <x:c r="H248" s="303" t="str">
        <x:v>Principal office: Columbus, Franklin County; c/o SKWR, 41 S. High St., Suite 2300, Columbus, OH 43215</x:v>
      </x:c>
      <x:c r="I248" s="303" t="str">
        <x:v>primary_image_confirmed</x:v>
      </x:c>
      <x:c r="J248" s="303" t="str">
        <x:v>Snow signed as incorporator and accepted appointment as original agent; the corporation authorized 750 no-par common shares and used a generic lawful-purpose clause</x:v>
      </x:c>
      <x:c r="K248" s="303" t="str">
        <x:v>The articles were signed 1988-05-12, the certificate and live history use 1988-05-13, and the processing receipt is dated 1988-05-17. No officer, director, shareholder, parcel, Epstein, or Wexner is identified.</x:v>
      </x:c>
    </x:row>
    <x:row r="249" ht="58" customHeight="1">
      <x:c r="A249" s="303" t="str">
        <x:v>Donner Development Company</x:v>
      </x:c>
      <x:c r="B249" s="312" t="n">
        <x:v>32864.5</x:v>
      </x:c>
      <x:c r="C249" s="303" t="str">
        <x:v>certificate and agreement of merger</x:v>
      </x:c>
      <x:c r="D249" s="315" t="str">
        <x:v>G774_0107</x:v>
      </x:c>
      <x:c r="E249" s="303" t="str">
        <x:v>Ohio Secretary of State</x:v>
      </x:c>
      <x:c r="F249" s="303" t="str">
        <x:v>Predecessor merged into Architonics</x:v>
      </x:c>
      <x:c r="G249" s="303" t="str">
        <x:v>Richard W. Rubenstein; Dorothy Snow; unnamed sole shareholder</x:v>
      </x:c>
      <x:c r="H249" s="303" t="str">
        <x:v>Merger returned to SKWR, 41 S. High St., Columbus, OH 43215; no parcel stated</x:v>
      </x:c>
      <x:c r="I249" s="303" t="str">
        <x:v>primary_image_confirmed</x:v>
      </x:c>
      <x:c r="J249" s="303" t="str">
        <x:v>The agreement names Donner Development Company as a merged corporation, Architonics as survivor, Rubenstein as vice president, and Snow as secretary; all assets and property vested in the survivor</x:v>
      </x:c>
      <x:c r="K249" s="303" t="str">
        <x:v>The sole shareholder is unnamed. Statutory vesting creates a successor-search rule but does not prove the predecessor owned land or identify a parcel.</x:v>
      </x:c>
    </x:row>
    <x:row r="250" ht="58" customHeight="1">
      <x:c r="A250" s="303" t="str">
        <x:v>Donner Development Company</x:v>
      </x:c>
      <x:c r="B250" s="312" t="n">
        <x:v>32864.5</x:v>
      </x:c>
      <x:c r="C250" s="303" t="str">
        <x:v>party-specific MEX status packet</x:v>
      </x:c>
      <x:c r="D250" s="315" t="str">
        <x:v>G774_0134</x:v>
      </x:c>
      <x:c r="E250" s="303" t="str">
        <x:v>Ohio Secretary of State</x:v>
      </x:c>
      <x:c r="F250" s="303" t="str">
        <x:v>Merged-out status confirmation</x:v>
      </x:c>
      <x:c r="G250" s="303" t="str">
        <x:v>Schwartz, Kelm, Warren &amp; Rubenstein; L. J. Evans</x:v>
      </x:c>
      <x:c r="H250" s="303" t="str">
        <x:v>41 S. High St., Columbus, OH 43215</x:v>
      </x:c>
      <x:c r="I250" s="303" t="str">
        <x:v>primary_image_confirmed</x:v>
      </x:c>
      <x:c r="J250" s="303" t="str">
        <x:v>The three-page packet confirms MEX status for charter 724615, was certified 1989-12-22, and was processed 1990-01-10</x:v>
      </x:c>
      <x:c r="K250" s="303" t="str">
        <x:v>The stub names no survivor, other constituent, shareholder, officer, parcel, Epstein, or Wexner; the Architonics edge comes from G774_0107.</x:v>
      </x:c>
    </x:row>
    <x:row r="251" ht="58" customHeight="1">
      <x:c r="A251" s="303" t="str">
        <x:v>Summit Holding, Inc.</x:v>
      </x:c>
      <x:c r="B251" s="312" t="n">
        <x:v>32276.5</x:v>
      </x:c>
      <x:c r="C251" s="303" t="str">
        <x:v>domestic articles and original-agent appointment</x:v>
      </x:c>
      <x:c r="D251" s="315" t="str">
        <x:v>G379_0247</x:v>
      </x:c>
      <x:c r="E251" s="303" t="str">
        <x:v>Ohio Secretary of State</x:v>
      </x:c>
      <x:c r="F251" s="303" t="str">
        <x:v>Formation and original statutory-agent appointment</x:v>
      </x:c>
      <x:c r="G251" s="303" t="str">
        <x:v>Dorothy Snow</x:v>
      </x:c>
      <x:c r="H251" s="303" t="str">
        <x:v>Principal office: Columbus, Franklin County; c/o SKWR, 41 S. High St., Suite 2300, Columbus, OH 43215</x:v>
      </x:c>
      <x:c r="I251" s="303" t="str">
        <x:v>primary_image_confirmed</x:v>
      </x:c>
      <x:c r="J251" s="303" t="str">
        <x:v>Snow signed as incorporator and accepted appointment as original agent; the corporation authorized 750 no-par common shares and used a generic lawful-purpose clause</x:v>
      </x:c>
      <x:c r="K251" s="303" t="str">
        <x:v>The articles were signed 1988-05-12, the certificate and live history use 1988-05-13, and the processing receipt is dated 1988-05-17. No officer, director, shareholder, parcel, Epstein, or Wexner is identified.</x:v>
      </x:c>
    </x:row>
    <x:row r="252" ht="58" customHeight="1">
      <x:c r="A252" s="303" t="str">
        <x:v>Summit Holding, Inc.</x:v>
      </x:c>
      <x:c r="B252" s="312" t="n">
        <x:v>32864.5</x:v>
      </x:c>
      <x:c r="C252" s="303" t="str">
        <x:v>certificate and agreement of merger</x:v>
      </x:c>
      <x:c r="D252" s="315" t="str">
        <x:v>G774_0107</x:v>
      </x:c>
      <x:c r="E252" s="303" t="str">
        <x:v>Ohio Secretary of State</x:v>
      </x:c>
      <x:c r="F252" s="303" t="str">
        <x:v>Predecessor merged into Architonics</x:v>
      </x:c>
      <x:c r="G252" s="303" t="str">
        <x:v>Richard W. Rubenstein; Dorothy Snow; unnamed sole shareholder</x:v>
      </x:c>
      <x:c r="H252" s="303" t="str">
        <x:v>Merger returned to SKWR, 41 S. High St., Columbus, OH 43215; no parcel stated</x:v>
      </x:c>
      <x:c r="I252" s="303" t="str">
        <x:v>primary_image_confirmed</x:v>
      </x:c>
      <x:c r="J252" s="303" t="str">
        <x:v>The agreement names Summit Holding, Inc. as a merged corporation, Architonics as survivor, Rubenstein as vice president, and Snow as secretary; all assets and property vested in the survivor</x:v>
      </x:c>
      <x:c r="K252" s="303" t="str">
        <x:v>The sole shareholder is unnamed. Statutory vesting creates a successor-search rule but does not prove the predecessor owned land or identify a parcel.</x:v>
      </x:c>
    </x:row>
    <x:row r="253" ht="58" customHeight="1">
      <x:c r="A253" s="303" t="str">
        <x:v>Summit Holding, Inc.</x:v>
      </x:c>
      <x:c r="B253" s="312" t="n">
        <x:v>32864.5</x:v>
      </x:c>
      <x:c r="C253" s="303" t="str">
        <x:v>party-specific MEX status packet</x:v>
      </x:c>
      <x:c r="D253" s="315" t="str">
        <x:v>G774_0173</x:v>
      </x:c>
      <x:c r="E253" s="303" t="str">
        <x:v>Ohio Secretary of State</x:v>
      </x:c>
      <x:c r="F253" s="303" t="str">
        <x:v>Merged-out status confirmation</x:v>
      </x:c>
      <x:c r="G253" s="303" t="str">
        <x:v>Schwartz, Kelm, Warren &amp; Rubenstein; L. J. Evans</x:v>
      </x:c>
      <x:c r="H253" s="303" t="str">
        <x:v>41 S. High St., Columbus, OH 43215</x:v>
      </x:c>
      <x:c r="I253" s="303" t="str">
        <x:v>primary_image_confirmed</x:v>
      </x:c>
      <x:c r="J253" s="303" t="str">
        <x:v>The three-page packet confirms MEX status for charter 724620, was certified 1989-12-22, and was processed 1990-01-10</x:v>
      </x:c>
      <x:c r="K253" s="303" t="str">
        <x:v>The stub names no survivor, other constituent, shareholder, officer, parcel, Epstein, or Wexner; the Architonics edge comes from G774_0107.</x:v>
      </x:c>
    </x:row>
    <x:row r="254" ht="58" customHeight="1">
      <x:c r="A254" s="303" t="str">
        <x:v>Currant Corporation</x:v>
      </x:c>
      <x:c r="B254" s="312" t="n">
        <x:v>32339.5</x:v>
      </x:c>
      <x:c r="C254" s="303" t="str">
        <x:v>domestic articles and original-agent appointment</x:v>
      </x:c>
      <x:c r="D254" s="315" t="str">
        <x:v>G423_1530</x:v>
      </x:c>
      <x:c r="E254" s="303" t="str">
        <x:v>Ohio Secretary of State</x:v>
      </x:c>
      <x:c r="F254" s="303" t="str">
        <x:v>Formation and original statutory-agent appointment</x:v>
      </x:c>
      <x:c r="G254" s="303" t="str">
        <x:v>Dorothy Snow</x:v>
      </x:c>
      <x:c r="H254" s="303" t="str">
        <x:v>Principal office: Columbus, Franklin County; c/o SKWR, 41 S. High St., Suite 2300, Columbus, OH 43215</x:v>
      </x:c>
      <x:c r="I254" s="303" t="str">
        <x:v>primary_image_confirmed</x:v>
      </x:c>
      <x:c r="J254" s="303" t="str">
        <x:v>Snow signed as incorporator and accepted appointment as original agent; the corporation authorized 750 no-par common shares and used a generic lawful-purpose clause</x:v>
      </x:c>
      <x:c r="K254" s="303" t="str">
        <x:v>The articles were signed 1988-07-14, the certificate and live history use 1988-07-15, and the processing receipt is dated 1988-07-18. No officer, director, shareholder, parcel, Epstein, or Wexner is identified.</x:v>
      </x:c>
    </x:row>
    <x:row r="255" ht="58" customHeight="1">
      <x:c r="A255" s="303" t="str">
        <x:v>Currant Corporation</x:v>
      </x:c>
      <x:c r="B255" s="312" t="n">
        <x:v>32864.5</x:v>
      </x:c>
      <x:c r="C255" s="303" t="str">
        <x:v>certificate and agreement of merger</x:v>
      </x:c>
      <x:c r="D255" s="315" t="str">
        <x:v>G774_0107</x:v>
      </x:c>
      <x:c r="E255" s="303" t="str">
        <x:v>Ohio Secretary of State</x:v>
      </x:c>
      <x:c r="F255" s="303" t="str">
        <x:v>Predecessor merged into Architonics</x:v>
      </x:c>
      <x:c r="G255" s="303" t="str">
        <x:v>Richard W. Rubenstein; Dorothy Snow; unnamed sole shareholder</x:v>
      </x:c>
      <x:c r="H255" s="303" t="str">
        <x:v>Merger returned to SKWR, 41 S. High St., Columbus, OH 43215; no parcel stated</x:v>
      </x:c>
      <x:c r="I255" s="303" t="str">
        <x:v>primary_image_confirmed</x:v>
      </x:c>
      <x:c r="J255" s="303" t="str">
        <x:v>The agreement names Currant Corporation as a merged corporation, Architonics as survivor, Rubenstein as vice president, and Snow as secretary; all assets and property vested in the survivor</x:v>
      </x:c>
      <x:c r="K255" s="303" t="str">
        <x:v>The sole shareholder is unnamed. Statutory vesting creates a successor-search rule but does not prove the predecessor owned land or identify a parcel.</x:v>
      </x:c>
    </x:row>
    <x:row r="256" ht="58" customHeight="1">
      <x:c r="A256" s="303" t="str">
        <x:v>Currant Corporation</x:v>
      </x:c>
      <x:c r="B256" s="312" t="n">
        <x:v>32864.5</x:v>
      </x:c>
      <x:c r="C256" s="303" t="str">
        <x:v>party-specific MEX status packet</x:v>
      </x:c>
      <x:c r="D256" s="315" t="str">
        <x:v>G774_0131</x:v>
      </x:c>
      <x:c r="E256" s="303" t="str">
        <x:v>Ohio Secretary of State</x:v>
      </x:c>
      <x:c r="F256" s="303" t="str">
        <x:v>Merged-out status confirmation</x:v>
      </x:c>
      <x:c r="G256" s="303" t="str">
        <x:v>Schwartz, Kelm, Warren &amp; Rubenstein; L. J. Evans</x:v>
      </x:c>
      <x:c r="H256" s="303" t="str">
        <x:v>41 S. High St., Columbus, OH 43215</x:v>
      </x:c>
      <x:c r="I256" s="303" t="str">
        <x:v>primary_image_confirmed</x:v>
      </x:c>
      <x:c r="J256" s="303" t="str">
        <x:v>The three-page packet confirms MEX status for charter 728765, was certified 1989-12-22, and was processed 1990-01-10</x:v>
      </x:c>
      <x:c r="K256" s="303" t="str">
        <x:v>The stub names no survivor, other constituent, shareholder, officer, parcel, Epstein, or Wexner; the Architonics edge comes from G774_0107.</x:v>
      </x:c>
    </x:row>
    <x:row r="257" ht="58" customHeight="1">
      <x:c r="A257" s="303" t="str">
        <x:v>Margin Management Company</x:v>
      </x:c>
      <x:c r="B257" s="312" t="n">
        <x:v>32339.5</x:v>
      </x:c>
      <x:c r="C257" s="303" t="str">
        <x:v>domestic articles and original-agent appointment</x:v>
      </x:c>
      <x:c r="D257" s="315" t="str">
        <x:v>G423_1542</x:v>
      </x:c>
      <x:c r="E257" s="303" t="str">
        <x:v>Ohio Secretary of State</x:v>
      </x:c>
      <x:c r="F257" s="303" t="str">
        <x:v>Formation and original statutory-agent appointment</x:v>
      </x:c>
      <x:c r="G257" s="303" t="str">
        <x:v>Dorothy Snow</x:v>
      </x:c>
      <x:c r="H257" s="303" t="str">
        <x:v>Principal office: Columbus, Franklin County; c/o SKWR, 41 S. High St., Suite 2300, Columbus, OH 43215</x:v>
      </x:c>
      <x:c r="I257" s="303" t="str">
        <x:v>primary_image_confirmed</x:v>
      </x:c>
      <x:c r="J257" s="303" t="str">
        <x:v>Snow signed as incorporator and accepted appointment as original agent; the corporation authorized 750 no-par common shares and used a generic lawful-purpose clause</x:v>
      </x:c>
      <x:c r="K257" s="303" t="str">
        <x:v>The articles were signed 1988-07-14, the certificate and live history use 1988-07-15, and the processing receipt is dated 1988-07-18. No officer, director, shareholder, parcel, Epstein, or Wexner is identified.</x:v>
      </x:c>
    </x:row>
    <x:row r="258" ht="58" customHeight="1">
      <x:c r="A258" s="303" t="str">
        <x:v>Margin Management Company</x:v>
      </x:c>
      <x:c r="B258" s="312" t="n">
        <x:v>32864.5</x:v>
      </x:c>
      <x:c r="C258" s="303" t="str">
        <x:v>certificate and agreement of merger</x:v>
      </x:c>
      <x:c r="D258" s="315" t="str">
        <x:v>G774_0107</x:v>
      </x:c>
      <x:c r="E258" s="303" t="str">
        <x:v>Ohio Secretary of State</x:v>
      </x:c>
      <x:c r="F258" s="303" t="str">
        <x:v>Predecessor merged into Architonics</x:v>
      </x:c>
      <x:c r="G258" s="303" t="str">
        <x:v>Richard W. Rubenstein; Dorothy Snow; unnamed sole shareholder</x:v>
      </x:c>
      <x:c r="H258" s="303" t="str">
        <x:v>Merger returned to SKWR, 41 S. High St., Columbus, OH 43215; no parcel stated</x:v>
      </x:c>
      <x:c r="I258" s="303" t="str">
        <x:v>primary_image_confirmed</x:v>
      </x:c>
      <x:c r="J258" s="303" t="str">
        <x:v>The agreement names Margin Management Company as a merged corporation, Architonics as survivor, Rubenstein as vice president, and Snow as secretary; all assets and property vested in the survivor</x:v>
      </x:c>
      <x:c r="K258" s="303" t="str">
        <x:v>The sole shareholder is unnamed. Statutory vesting creates a successor-search rule but does not prove the predecessor owned land or identify a parcel.</x:v>
      </x:c>
    </x:row>
    <x:row r="259" ht="58" customHeight="1">
      <x:c r="A259" s="303" t="str">
        <x:v>Margin Management Company</x:v>
      </x:c>
      <x:c r="B259" s="312" t="n">
        <x:v>32864.5</x:v>
      </x:c>
      <x:c r="C259" s="303" t="str">
        <x:v>party-specific MEX status packet</x:v>
      </x:c>
      <x:c r="D259" s="315" t="str">
        <x:v>G774_0149</x:v>
      </x:c>
      <x:c r="E259" s="303" t="str">
        <x:v>Ohio Secretary of State</x:v>
      </x:c>
      <x:c r="F259" s="303" t="str">
        <x:v>Merged-out status confirmation</x:v>
      </x:c>
      <x:c r="G259" s="303" t="str">
        <x:v>Schwartz, Kelm, Warren &amp; Rubenstein; L. J. Evans</x:v>
      </x:c>
      <x:c r="H259" s="303" t="str">
        <x:v>41 S. High St., Columbus, OH 43215</x:v>
      </x:c>
      <x:c r="I259" s="303" t="str">
        <x:v>primary_image_confirmed</x:v>
      </x:c>
      <x:c r="J259" s="303" t="str">
        <x:v>The three-page packet confirms MEX status for charter 728767, was certified 1989-12-22, and was processed 1990-01-10</x:v>
      </x:c>
      <x:c r="K259" s="303" t="str">
        <x:v>The stub names no survivor, other constituent, shareholder, officer, parcel, Epstein, or Wexner; the Architonics edge comes from G774_0107.</x:v>
      </x:c>
    </x:row>
    <x:row r="260" ht="58" customHeight="1">
      <x:c r="A260" s="303" t="str">
        <x:v>Graeton Development Company</x:v>
      </x:c>
      <x:c r="B260" s="312" t="n">
        <x:v>32379.5</x:v>
      </x:c>
      <x:c r="C260" s="303" t="str">
        <x:v>domestic articles and original-agent appointment</x:v>
      </x:c>
      <x:c r="D260" s="315" t="str">
        <x:v>G456_0356</x:v>
      </x:c>
      <x:c r="E260" s="303" t="str">
        <x:v>Ohio Secretary of State</x:v>
      </x:c>
      <x:c r="F260" s="303" t="str">
        <x:v>Formation and original statutory-agent appointment</x:v>
      </x:c>
      <x:c r="G260" s="303" t="str">
        <x:v>Dorothy Snow</x:v>
      </x:c>
      <x:c r="H260" s="303" t="str">
        <x:v>Principal office: Columbus, Franklin County; c/o SKWR, 41 S. High St., Suite 2300, Columbus, OH 43215</x:v>
      </x:c>
      <x:c r="I260" s="303" t="str">
        <x:v>primary_image_confirmed</x:v>
      </x:c>
      <x:c r="J260" s="303" t="str">
        <x:v>Snow signed as incorporator and accepted appointment as original agent; the corporation authorized 750 no-par common shares and used a generic lawful-purpose clause</x:v>
      </x:c>
      <x:c r="K260" s="303" t="str">
        <x:v>The articles were signed 1988-08-23, the certificate and live history use 1988-08-24, and the processing receipt is dated 1988-08-26. No officer, director, shareholder, parcel, Epstein, or Wexner is identified.</x:v>
      </x:c>
    </x:row>
    <x:row r="261" ht="58" customHeight="1">
      <x:c r="A261" s="303" t="str">
        <x:v>Graeton Development Company</x:v>
      </x:c>
      <x:c r="B261" s="312" t="n">
        <x:v>32864.5</x:v>
      </x:c>
      <x:c r="C261" s="303" t="str">
        <x:v>certificate and agreement of merger</x:v>
      </x:c>
      <x:c r="D261" s="315" t="str">
        <x:v>G774_0107</x:v>
      </x:c>
      <x:c r="E261" s="303" t="str">
        <x:v>Ohio Secretary of State</x:v>
      </x:c>
      <x:c r="F261" s="303" t="str">
        <x:v>Predecessor merged into Architonics</x:v>
      </x:c>
      <x:c r="G261" s="303" t="str">
        <x:v>Richard W. Rubenstein; Dorothy Snow; unnamed sole shareholder</x:v>
      </x:c>
      <x:c r="H261" s="303" t="str">
        <x:v>Merger returned to SKWR, 41 S. High St., Columbus, OH 43215; no parcel stated</x:v>
      </x:c>
      <x:c r="I261" s="303" t="str">
        <x:v>primary_image_confirmed</x:v>
      </x:c>
      <x:c r="J261" s="303" t="str">
        <x:v>The agreement names Graeton Development Company as a merged corporation, Architonics as survivor, Rubenstein as vice president, and Snow as secretary; all assets and property vested in the survivor</x:v>
      </x:c>
      <x:c r="K261" s="303" t="str">
        <x:v>The sole shareholder is unnamed. Statutory vesting creates a successor-search rule but does not prove the predecessor owned land or identify a parcel.</x:v>
      </x:c>
    </x:row>
    <x:row r="262" ht="58" customHeight="1">
      <x:c r="A262" s="303" t="str">
        <x:v>Graeton Development Company</x:v>
      </x:c>
      <x:c r="B262" s="312" t="n">
        <x:v>32864.5</x:v>
      </x:c>
      <x:c r="C262" s="303" t="str">
        <x:v>party-specific MEX status packet</x:v>
      </x:c>
      <x:c r="D262" s="315" t="str">
        <x:v>G774_0140</x:v>
      </x:c>
      <x:c r="E262" s="303" t="str">
        <x:v>Ohio Secretary of State</x:v>
      </x:c>
      <x:c r="F262" s="303" t="str">
        <x:v>Merged-out status confirmation</x:v>
      </x:c>
      <x:c r="G262" s="303" t="str">
        <x:v>Schwartz, Kelm, Warren &amp; Rubenstein; L. J. Evans</x:v>
      </x:c>
      <x:c r="H262" s="303" t="str">
        <x:v>41 S. High St., Columbus, OH 43215</x:v>
      </x:c>
      <x:c r="I262" s="303" t="str">
        <x:v>primary_image_confirmed</x:v>
      </x:c>
      <x:c r="J262" s="303" t="str">
        <x:v>The three-page packet confirms MEX status for charter 731364, was certified 1989-12-22, and was processed 1990-01-10</x:v>
      </x:c>
      <x:c r="K262" s="303" t="str">
        <x:v>The stub names no survivor, other constituent, shareholder, officer, parcel, Epstein, or Wexner; the Architonics edge comes from G774_0107.</x:v>
      </x:c>
    </x:row>
    <x:row r="263" ht="58" customHeight="1">
      <x:c r="A263" s="303" t="str">
        <x:v>Main-High Development Corp.</x:v>
      </x:c>
      <x:c r="B263" s="312" t="n">
        <x:v>31574.5</x:v>
      </x:c>
      <x:c r="C263" s="303" t="str">
        <x:v>domestic articles and original-agent appointment</x:v>
      </x:c>
      <x:c r="D263" s="315" t="str">
        <x:v>F931_0311</x:v>
      </x:c>
      <x:c r="E263" s="303" t="str">
        <x:v>Ohio Secretary of State</x:v>
      </x:c>
      <x:c r="F263" s="303" t="str">
        <x:v>Formation and original statutory-agent appointment</x:v>
      </x:c>
      <x:c r="G263" s="303" t="str">
        <x:v>Dorothy Snow</x:v>
      </x:c>
      <x:c r="H263" s="303" t="str">
        <x:v>Columbus, Franklin County; 2101 Fitzroy Drive, Columbus, OH 43224</x:v>
      </x:c>
      <x:c r="I263" s="303" t="str">
        <x:v>primary_image_confirmed</x:v>
      </x:c>
      <x:c r="J263" s="303" t="str">
        <x:v>Snow signed as incorporator and accepted appointment as original statutory agent; 750 no-par common shares were authorized</x:v>
      </x:c>
      <x:c r="K263" s="303" t="str">
        <x:v>No parcel, shareholder, beneficial owner, Epstein, or Wexner is identified. A corporate purpose or naming consent is not proof of a completed transaction.</x:v>
      </x:c>
    </x:row>
    <x:row r="264" ht="58" customHeight="1">
      <x:c r="A264" s="303" t="str">
        <x:v>Main-High Development Corp.</x:v>
      </x:c>
      <x:c r="B264" s="312" t="n">
        <x:v>33177.5</x:v>
      </x:c>
      <x:c r="C264" s="303" t="str">
        <x:v>domestic dissolution packet</x:v>
      </x:c>
      <x:c r="D264" s="315" t="str">
        <x:v>G985_0497</x:v>
      </x:c>
      <x:c r="E264" s="303" t="str">
        <x:v>Ohio Secretary of State</x:v>
      </x:c>
      <x:c r="F264" s="303" t="str">
        <x:v>Dissolution and statutory-agent record</x:v>
      </x:c>
      <x:c r="G264" s="303" t="str">
        <x:v>John W. Kessler; Daniel M. Galbreath; Dorothy Snow; Judy McCoy</x:v>
      </x:c>
      <x:c r="H264" s="303" t="str">
        <x:v>41 S. High St., 23rd Floor, Columbus, OH 43215; no parcel stated</x:v>
      </x:c>
      <x:c r="I264" s="303" t="str">
        <x:v>primary_image_confirmed</x:v>
      </x:c>
      <x:c r="J264" s="303" t="str">
        <x:v>Kessler and Galbreath were directors; Snow was president/treasurer; McCoy was vice president/secretary; Snow was statutory agent</x:v>
      </x:c>
      <x:c r="K264" s="303" t="str">
        <x:v>The authorizing resolution refers to shareholders in the plural but does not name them. No asset recipient, Epstein, or Wexner is identified. The no-personal-property affidavit does not address real estate.</x:v>
      </x:c>
    </x:row>
    <x:row r="265" ht="58" customHeight="1">
      <x:c r="A265" s="303" t="str">
        <x:v>The Encee Holding Corp.</x:v>
      </x:c>
      <x:c r="B265" s="312" t="n">
        <x:v>31805.5</x:v>
      </x:c>
      <x:c r="C265" s="303" t="str">
        <x:v>domestic articles and original-agent appointment</x:v>
      </x:c>
      <x:c r="D265" s="315" t="str">
        <x:v>G087_0559</x:v>
      </x:c>
      <x:c r="E265" s="303" t="str">
        <x:v>Ohio Secretary of State</x:v>
      </x:c>
      <x:c r="F265" s="303" t="str">
        <x:v>Formation and original statutory-agent appointment</x:v>
      </x:c>
      <x:c r="G265" s="303" t="str">
        <x:v>Robert N. Wistner</x:v>
      </x:c>
      <x:c r="H265" s="303" t="str">
        <x:v>Dublin, Franklin County; 475 Metro Place North, Suite 200, Dublin, OH 43017-1374</x:v>
      </x:c>
      <x:c r="I265" s="303" t="str">
        <x:v>primary_image_confirmed</x:v>
      </x:c>
      <x:c r="J265" s="303" t="str">
        <x:v>Wistner signed as incorporator and accepted appointment as original statutory agent; the articles state the limited property-agency purpose</x:v>
      </x:c>
      <x:c r="K265" s="303" t="str">
        <x:v>No parcel, shareholder, beneficial owner, Epstein, or Wexner is identified. A corporate purpose or naming consent is not proof of a completed transaction.</x:v>
      </x:c>
    </x:row>
    <x:row r="266" ht="58" customHeight="1">
      <x:c r="A266" s="303" t="str">
        <x:v>The Encee Holding Corp.</x:v>
      </x:c>
      <x:c r="B266" s="312" t="n">
        <x:v>32505.5</x:v>
      </x:c>
      <x:c r="C266" s="303" t="str">
        <x:v>domestic dissolution packet</x:v>
      </x:c>
      <x:c r="D266" s="315" t="str">
        <x:v>G532_1234;OH-SOS:728764:G532_0974</x:v>
      </x:c>
      <x:c r="E266" s="303" t="str">
        <x:v>Ohio Secretary of State</x:v>
      </x:c>
      <x:c r="F266" s="303" t="str">
        <x:v>Dissolution and statutory-agent record</x:v>
      </x:c>
      <x:c r="G266" s="303" t="str">
        <x:v>Stanley Schwartz, Jr.; Richard W. Rubenstein; Dorothy Snow</x:v>
      </x:c>
      <x:c r="H266" s="303" t="str">
        <x:v>41 S. High St., 23rd Floor, Columbus, OH 43215; no parcel stated</x:v>
      </x:c>
      <x:c r="I266" s="303" t="str">
        <x:v>primary_image_confirmed</x:v>
      </x:c>
      <x:c r="J266" s="303" t="str">
        <x:v>Schwartz was chairman/president; Rubenstein was vice president/treasurer; Snow was secretary and statutory agent; Schwartz, Kenneth J. Warren, and Rubenstein were directors</x:v>
      </x:c>
      <x:c r="K266" s="303" t="str">
        <x:v>The authorizing sole shareholder is unnamed. No asset recipient, Epstein, or Wexner is identified. The no-personal-property affidavit does not address real estate. Argotron G532_0974 p.7 establishes inclusion in a 46-company administrative dissolution batch; it does not establish common ownership, common control, a shared property portfolio, or beneficial ownership.</x:v>
      </x:c>
    </x:row>
    <x:row r="267" ht="58" customHeight="1">
      <x:c r="A267" s="303" t="str">
        <x:v>NELC, Inc.</x:v>
      </x:c>
      <x:c r="B267" s="312" t="n">
        <x:v>31826.5</x:v>
      </x:c>
      <x:c r="C267" s="303" t="str">
        <x:v>domestic articles and original-agent appointment</x:v>
      </x:c>
      <x:c r="D267" s="315" t="str">
        <x:v>G101_0615</x:v>
      </x:c>
      <x:c r="E267" s="303" t="str">
        <x:v>Ohio Secretary of State</x:v>
      </x:c>
      <x:c r="F267" s="303" t="str">
        <x:v>Formation and original statutory-agent appointment</x:v>
      </x:c>
      <x:c r="G267" s="303" t="str">
        <x:v>Robert N. Wistner</x:v>
      </x:c>
      <x:c r="H267" s="303" t="str">
        <x:v>Dublin, Franklin County; 475 Metro Place North, Suite 200, Dublin, OH 43017-1374</x:v>
      </x:c>
      <x:c r="I267" s="303" t="str">
        <x:v>primary_image_confirmed</x:v>
      </x:c>
      <x:c r="J267" s="303" t="str">
        <x:v>Wistner signed as incorporator and accepted appointment as original statutory agent; the articles state the limited property-agency purpose</x:v>
      </x:c>
      <x:c r="K267" s="303" t="str">
        <x:v>No parcel, shareholder, beneficial owner, Epstein, or Wexner is identified. A corporate purpose or naming consent is not proof of a completed transaction.</x:v>
      </x:c>
    </x:row>
    <x:row r="268" ht="58" customHeight="1">
      <x:c r="A268" s="303" t="str">
        <x:v>NELC, Inc.</x:v>
      </x:c>
      <x:c r="B268" s="312" t="n">
        <x:v>32505.5</x:v>
      </x:c>
      <x:c r="C268" s="303" t="str">
        <x:v>domestic dissolution packet</x:v>
      </x:c>
      <x:c r="D268" s="315" t="str">
        <x:v>G532_1156;OH-SOS:728764:G532_0974</x:v>
      </x:c>
      <x:c r="E268" s="303" t="str">
        <x:v>Ohio Secretary of State</x:v>
      </x:c>
      <x:c r="F268" s="303" t="str">
        <x:v>Dissolution and statutory-agent record</x:v>
      </x:c>
      <x:c r="G268" s="303" t="str">
        <x:v>Stanley Schwartz, Jr.; Richard W. Rubenstein; Dorothy Snow</x:v>
      </x:c>
      <x:c r="H268" s="303" t="str">
        <x:v>41 S. High St., 23rd Floor, Columbus, OH 43215; no parcel stated</x:v>
      </x:c>
      <x:c r="I268" s="303" t="str">
        <x:v>primary_image_confirmed</x:v>
      </x:c>
      <x:c r="J268" s="303" t="str">
        <x:v>Schwartz was chairman/president; Rubenstein was vice president/treasurer; Snow was secretary and statutory agent; Schwartz, Kenneth J. Warren, and Rubenstein were directors</x:v>
      </x:c>
      <x:c r="K268" s="303" t="str">
        <x:v>The authorizing sole shareholder is unnamed. No asset recipient, Epstein, or Wexner is identified. The no-personal-property affidavit does not address real estate. Argotron G532_0974 p.7 establishes inclusion in a 46-company administrative dissolution batch; it does not establish common ownership, common control, a shared property portfolio, or beneficial ownership.</x:v>
      </x:c>
    </x:row>
    <x:row r="269" ht="58" customHeight="1">
      <x:c r="A269" s="303" t="str">
        <x:v>Great Eastern Fastening Corp. II</x:v>
      </x:c>
      <x:c r="B269" s="312" t="n">
        <x:v>31988.5</x:v>
      </x:c>
      <x:c r="C269" s="303" t="str">
        <x:v>domestic articles and original-agent appointment</x:v>
      </x:c>
      <x:c r="D269" s="315" t="str">
        <x:v>G211_1367</x:v>
      </x:c>
      <x:c r="E269" s="303" t="str">
        <x:v>Ohio Secretary of State</x:v>
      </x:c>
      <x:c r="F269" s="303" t="str">
        <x:v>Formation and original statutory-agent appointment</x:v>
      </x:c>
      <x:c r="G269" s="303" t="str">
        <x:v>Robert N. Wistner; Paul S. Coppel</x:v>
      </x:c>
      <x:c r="H269" s="303" t="str">
        <x:v>Dublin, Franklin County; 475 Metro Place North, Suite 200, Dublin, OH 43017-1374</x:v>
      </x:c>
      <x:c r="I269" s="303" t="str">
        <x:v>primary_image_confirmed</x:v>
      </x:c>
      <x:c r="J269" s="303" t="str">
        <x:v>Wistner signed as incorporator and original agent; Great Eastern Fastening Corp. (Ohio 689907), through secretary Paul S. Coppel, formally consented to use of the Great Eastern Fastening Corp. II name</x:v>
      </x:c>
      <x:c r="K269" s="303" t="str">
        <x:v>No parcel, shareholder, beneficial owner, Epstein, or Wexner is identified. A corporate purpose or naming consent is not proof of a completed transaction.</x:v>
      </x:c>
    </x:row>
    <x:row r="270" ht="58" customHeight="1">
      <x:c r="A270" s="303" t="str">
        <x:v>Great Eastern Fastening Corp. II</x:v>
      </x:c>
      <x:c r="B270" s="312" t="n">
        <x:v>32505.5</x:v>
      </x:c>
      <x:c r="C270" s="303" t="str">
        <x:v>domestic dissolution packet</x:v>
      </x:c>
      <x:c r="D270" s="315" t="str">
        <x:v>G532_1078;OH-SOS:728764:G532_0974</x:v>
      </x:c>
      <x:c r="E270" s="303" t="str">
        <x:v>Ohio Secretary of State</x:v>
      </x:c>
      <x:c r="F270" s="303" t="str">
        <x:v>Dissolution and statutory-agent record</x:v>
      </x:c>
      <x:c r="G270" s="303" t="str">
        <x:v>Stanley Schwartz, Jr.; Richard W. Rubenstein; Dorothy Snow</x:v>
      </x:c>
      <x:c r="H270" s="303" t="str">
        <x:v>41 S. High St., 23rd Floor, Columbus, OH 43215; no parcel stated</x:v>
      </x:c>
      <x:c r="I270" s="303" t="str">
        <x:v>primary_image_confirmed</x:v>
      </x:c>
      <x:c r="J270" s="303" t="str">
        <x:v>Schwartz was chairman/president; Rubenstein was vice president/treasurer; Snow was secretary and statutory agent; Schwartz, Kenneth J. Warren, and Rubenstein were directors</x:v>
      </x:c>
      <x:c r="K270" s="303" t="str">
        <x:v>The authorizing sole shareholder is unnamed. No asset recipient, Epstein, or Wexner is identified. The no-personal-property affidavit does not address real estate. Argotron G532_0974 p.7 establishes inclusion in a 46-company administrative dissolution batch; it does not establish common ownership, common control, a shared property portfolio, or beneficial ownership.</x:v>
      </x:c>
    </x:row>
    <x:row r="271" ht="58" customHeight="1">
      <x:c r="A271" s="303" t="str">
        <x:v>Petel of Columbus Co. #1, Inc.</x:v>
      </x:c>
      <x:c r="B271" s="312" t="n">
        <x:v>31926.5</x:v>
      </x:c>
      <x:c r="C271" s="303" t="str">
        <x:v>domestic articles and original-agent appointment</x:v>
      </x:c>
      <x:c r="D271" s="315" t="str">
        <x:v>G162_1546</x:v>
      </x:c>
      <x:c r="E271" s="303" t="str">
        <x:v>Ohio Secretary of State</x:v>
      </x:c>
      <x:c r="F271" s="303" t="str">
        <x:v>Formation and original statutory-agent appointment</x:v>
      </x:c>
      <x:c r="G271" s="303" t="str">
        <x:v>Robert N. Wistner</x:v>
      </x:c>
      <x:c r="H271" s="303" t="str">
        <x:v>Dublin, Franklin County; 475 Metro Place North, Dublin, OH 43017-1374</x:v>
      </x:c>
      <x:c r="I271" s="303" t="str">
        <x:v>primary_image_confirmed</x:v>
      </x:c>
      <x:c r="J271" s="303" t="str">
        <x:v>Wistner signed as incorporator and accepted appointment as original statutory agent; 750 no-par common shares were authorized</x:v>
      </x:c>
      <x:c r="K271" s="303" t="str">
        <x:v>No parcel, shareholder, beneficial owner, Epstein, or Wexner is identified. A corporate purpose or naming consent is not proof of a completed transaction.</x:v>
      </x:c>
    </x:row>
    <x:row r="272" ht="58" customHeight="1">
      <x:c r="A272" s="303" t="str">
        <x:v>Petel of Columbus Co. #1, Inc.</x:v>
      </x:c>
      <x:c r="B272" s="312" t="n">
        <x:v>32505.5</x:v>
      </x:c>
      <x:c r="C272" s="303" t="str">
        <x:v>domestic dissolution packet</x:v>
      </x:c>
      <x:c r="D272" s="315" t="str">
        <x:v>G532_1180;OH-SOS:728764:G532_0974</x:v>
      </x:c>
      <x:c r="E272" s="303" t="str">
        <x:v>Ohio Secretary of State</x:v>
      </x:c>
      <x:c r="F272" s="303" t="str">
        <x:v>Dissolution and statutory-agent record</x:v>
      </x:c>
      <x:c r="G272" s="303" t="str">
        <x:v>Stanley Schwartz, Jr.; Richard W. Rubenstein; Dorothy Snow</x:v>
      </x:c>
      <x:c r="H272" s="303" t="str">
        <x:v>41 S. High St., 23rd Floor, Columbus, OH 43215; no parcel stated</x:v>
      </x:c>
      <x:c r="I272" s="303" t="str">
        <x:v>primary_image_confirmed</x:v>
      </x:c>
      <x:c r="J272" s="303" t="str">
        <x:v>Schwartz was chairman/president; Rubenstein was vice president/treasurer; Snow was secretary and statutory agent; Schwartz, Kenneth J. Warren, and Rubenstein were directors</x:v>
      </x:c>
      <x:c r="K272" s="303" t="str">
        <x:v>The authorizing sole shareholder is unnamed. No asset recipient, Epstein, or Wexner is identified. The no-personal-property affidavit does not address real estate. Argotron G532_0974 p.7 establishes inclusion in a 46-company administrative dissolution batch; it does not establish common ownership, common control, a shared property portfolio, or beneficial ownership.</x:v>
      </x:c>
    </x:row>
    <x:row r="273" ht="58" customHeight="1">
      <x:c r="A273" s="303" t="str">
        <x:v>Architonics, Inc.</x:v>
      </x:c>
      <x:c r="B273" s="312" t="n">
        <x:v>32119.5</x:v>
      </x:c>
      <x:c r="C273" s="303" t="str">
        <x:v>deed index</x:v>
      </x:c>
      <x:c r="D273" s="315" t="str">
        <x:v>198712080212780</x:v>
      </x:c>
      <x:c r="E273" s="303" t="str">
        <x:v>Franklin County Recorder</x:v>
      </x:c>
      <x:c r="F273" s="303" t="str">
        <x:v>Acquired 24.642 acres from Ted R. Meteer</x:v>
      </x:c>
      <x:c r="G273" s="303" t="str">
        <x:v>Ted R. Meteer; Architonics, Inc.</x:v>
      </x:c>
      <x:c r="H273" s="303" t="str">
        <x:v>24.642 acres, Range 16, Plain Township</x:v>
      </x:c>
      <x:c r="I273" s="303" t="str">
        <x:v>official_index_only</x:v>
      </x:c>
      <x:c r="J273" s="303" t="str">
        <x:v>Recorder index lists Meteer as grantor and Architonics as grantee of the 24.642-acre deed</x:v>
      </x:c>
      <x:c r="K273" s="303" t="str">
        <x:v>The deed image has not been reviewed; current parcel identity and beneficial ownership are unresolved.</x:v>
      </x:c>
    </x:row>
    <x:row r="274" ht="58" customHeight="1">
      <x:c r="A274" s="303" t="str">
        <x:v>Architonics, Inc.</x:v>
      </x:c>
      <x:c r="B274" s="312" t="n">
        <x:v>32870.5</x:v>
      </x:c>
      <x:c r="C274" s="303" t="str">
        <x:v>deed index</x:v>
      </x:c>
      <x:c r="D274" s="315" t="str">
        <x:v>198912280188790</x:v>
      </x:c>
      <x:c r="E274" s="303" t="str">
        <x:v>Franklin County Recorder</x:v>
      </x:c>
      <x:c r="F274" s="303" t="str">
        <x:v>Conveyed 24.642 acres to New Albany Co.</x:v>
      </x:c>
      <x:c r="G274" s="303" t="str">
        <x:v>Architonics, Inc.; New Albany Co.</x:v>
      </x:c>
      <x:c r="H274" s="303" t="str">
        <x:v>24.642 acres, Range 16</x:v>
      </x:c>
      <x:c r="I274" s="303" t="str">
        <x:v>official_index_only</x:v>
      </x:c>
      <x:c r="J274" s="303" t="str">
        <x:v>Recorder index lists Architonics as grantor and New Albany Co. as grantee six days after the Architonics merger</x:v>
      </x:c>
      <x:c r="K274" s="303" t="str">
        <x:v>The date and matching acreage do not prove the conveyance was caused by the merger or that the tract came from a predecessor.</x:v>
      </x:c>
    </x:row>
    <x:row r="275" ht="58" customHeight="1">
      <x:c r="A275" s="303" t="str">
        <x:v>Architonics, Inc.</x:v>
      </x:c>
      <x:c r="B275" s="312" t="n">
        <x:v>32871.5</x:v>
      </x:c>
      <x:c r="C275" s="303" t="str">
        <x:v>deed index</x:v>
      </x:c>
      <x:c r="D275" s="315" t="str">
        <x:v>198912290189094</x:v>
      </x:c>
      <x:c r="E275" s="303" t="str">
        <x:v>Franklin County Recorder</x:v>
      </x:c>
      <x:c r="F275" s="303" t="str">
        <x:v>Conveyed multiple indexed tracts to New Albany Co.</x:v>
      </x:c>
      <x:c r="G275" s="303" t="str">
        <x:v>Architonics, Inc.; New Albany Co.</x:v>
      </x:c>
      <x:c r="H275" s="303" t="str">
        <x:v>Multi-tract legal-description index containing numerous acreage entries</x:v>
      </x:c>
      <x:c r="I275" s="303" t="str">
        <x:v>official_index_only</x:v>
      </x:c>
      <x:c r="J275" s="303" t="str">
        <x:v>Recorder index lists Architonics as grantor and New Albany Co. as grantee on Architonics's dissolution date</x:v>
      </x:c>
      <x:c r="K275" s="303" t="str">
        <x:v>The deed image is required to identify the parcels, conveyance capacity, merger language, consideration, and completeness.</x:v>
      </x:c>
    </x:row>
    <x:row r="276" ht="58" customHeight="1">
      <x:c r="A276" s="303" t="str">
        <x:v>LeeAce Inc.</x:v>
      </x:c>
      <x:c r="B276" s="312" t="n">
        <x:v>32125.5</x:v>
      </x:c>
      <x:c r="C276" s="303" t="str">
        <x:v>domestic articles and original-agent appointment</x:v>
      </x:c>
      <x:c r="D276" s="315" t="str">
        <x:v>G290_1442</x:v>
      </x:c>
      <x:c r="E276" s="303" t="str">
        <x:v>Ohio Secretary of State</x:v>
      </x:c>
      <x:c r="F276" s="303" t="str">
        <x:v>Formation and original statutory-agent appointment</x:v>
      </x:c>
      <x:c r="G276" s="303" t="str">
        <x:v>Dorothy Snow</x:v>
      </x:c>
      <x:c r="H276" s="303" t="str">
        <x:v>Principal office: Columbus, Franklin County; c/o SKWR, 41 S. High St., Suite 2300, Columbus, OH 43215</x:v>
      </x:c>
      <x:c r="I276" s="303" t="str">
        <x:v>primary_image_confirmed</x:v>
      </x:c>
      <x:c r="J276" s="303" t="str">
        <x:v>Snow signed as incorporator and accepted appointment as original agent; the corporation authorized 750 no-par common shares and used a generic lawful-purpose clause</x:v>
      </x:c>
      <x:c r="K276" s="303" t="str">
        <x:v>The packet identifies no initial officer, director, shareholder, parcel, Epstein, or Wexner. The formation packet uses LEEACE INC.; the merger agreement uses LEEACE, INC.</x:v>
      </x:c>
    </x:row>
    <x:row r="277" ht="58" customHeight="1">
      <x:c r="A277" s="303" t="str">
        <x:v>LeeAce Inc.</x:v>
      </x:c>
      <x:c r="B277" s="312" t="n">
        <x:v>32864.5</x:v>
      </x:c>
      <x:c r="C277" s="303" t="str">
        <x:v>certificate and agreement of merger</x:v>
      </x:c>
      <x:c r="D277" s="315" t="str">
        <x:v>G774_0107</x:v>
      </x:c>
      <x:c r="E277" s="303" t="str">
        <x:v>Ohio Secretary of State</x:v>
      </x:c>
      <x:c r="F277" s="303" t="str">
        <x:v>Predecessor merged into Architonics</x:v>
      </x:c>
      <x:c r="G277" s="303" t="str">
        <x:v>Richard W. Rubenstein; Dorothy Snow; unnamed sole shareholder</x:v>
      </x:c>
      <x:c r="H277" s="303" t="str">
        <x:v>Merger returned to SKWR, 41 S. High St., Columbus, OH 43215; no parcel stated</x:v>
      </x:c>
      <x:c r="I277" s="303" t="str">
        <x:v>primary_image_confirmed</x:v>
      </x:c>
      <x:c r="J277" s="303" t="str">
        <x:v>The agreement names LeeAce as a merged corporation, Architonics as survivor, Rubenstein as vice president, and Snow as secretary; all assets and property vested in the survivor</x:v>
      </x:c>
      <x:c r="K277" s="303" t="str">
        <x:v>The sole shareholder is unnamed. Statutory vesting creates a successor-search rule but does not prove LeeAce owned land or identify a parcel.</x:v>
      </x:c>
    </x:row>
    <x:row r="278" ht="58" customHeight="1">
      <x:c r="A278" s="303" t="str">
        <x:v>LeeAce Inc.</x:v>
      </x:c>
      <x:c r="B278" s="312" t="n">
        <x:v>32864.5</x:v>
      </x:c>
      <x:c r="C278" s="303" t="str">
        <x:v>party-specific MEX status packet</x:v>
      </x:c>
      <x:c r="D278" s="315" t="str">
        <x:v>G774_0146</x:v>
      </x:c>
      <x:c r="E278" s="303" t="str">
        <x:v>Ohio Secretary of State</x:v>
      </x:c>
      <x:c r="F278" s="303" t="str">
        <x:v>Merged-out status confirmation</x:v>
      </x:c>
      <x:c r="G278" s="303" t="str">
        <x:v>Schwartz, Kelm, Warren &amp; Rubenstein; L. J. Evans</x:v>
      </x:c>
      <x:c r="H278" s="303" t="str">
        <x:v>41 S. High St., Columbus, OH 43215</x:v>
      </x:c>
      <x:c r="I278" s="303" t="str">
        <x:v>primary_image_confirmed</x:v>
      </x:c>
      <x:c r="J278" s="303" t="str">
        <x:v>The three-page packet confirms MEX status for charter 712264 and was processed 1990-01-10 under receipt 48736</x:v>
      </x:c>
      <x:c r="K278" s="303" t="str">
        <x:v>The stub names no survivor, other constituent, shareholder, officer, parcel, Epstein, or Wexner; the Architonics edge comes from G774_0107.</x:v>
      </x:c>
    </x:row>
    <x:row r="279" ht="58" customHeight="1">
      <x:c r="A279" s="303" t="str">
        <x:v>Spring Harbor Properties, Inc.</x:v>
      </x:c>
      <x:c r="B279" s="312" t="n">
        <x:v>32133.5</x:v>
      </x:c>
      <x:c r="C279" s="303" t="str">
        <x:v>domestic articles and original-agent appointment</x:v>
      </x:c>
      <x:c r="D279" s="315" t="str">
        <x:v>G294_1112</x:v>
      </x:c>
      <x:c r="E279" s="303" t="str">
        <x:v>Ohio Secretary of State</x:v>
      </x:c>
      <x:c r="F279" s="303" t="str">
        <x:v>Formation and original statutory-agent appointment</x:v>
      </x:c>
      <x:c r="G279" s="303" t="str">
        <x:v>Dorothy Snow</x:v>
      </x:c>
      <x:c r="H279" s="303" t="str">
        <x:v>Principal office: Columbus, Franklin County; c/o SKWR, 41 S. High St., Suite 2300, Columbus, OH 43215</x:v>
      </x:c>
      <x:c r="I279" s="303" t="str">
        <x:v>primary_image_confirmed</x:v>
      </x:c>
      <x:c r="J279" s="303" t="str">
        <x:v>Snow signed the articles dated 1987-12-21 as incorporator and accepted appointment as original agent; the corporation authorized 750 no-par common shares and used a generic lawful-purpose clause</x:v>
      </x:c>
      <x:c r="K279" s="303" t="str">
        <x:v>The exact legal name includes PROPERTIES. The packet identifies no initial officer, director, shareholder, parcel, Epstein, or Wexner.</x:v>
      </x:c>
    </x:row>
    <x:row r="280" ht="58" customHeight="1">
      <x:c r="A280" s="303" t="str">
        <x:v>Spring Harbor Properties, Inc.</x:v>
      </x:c>
      <x:c r="B280" s="312" t="n">
        <x:v>32864.5</x:v>
      </x:c>
      <x:c r="C280" s="303" t="str">
        <x:v>certificate and agreement of merger</x:v>
      </x:c>
      <x:c r="D280" s="315" t="str">
        <x:v>G774_0107</x:v>
      </x:c>
      <x:c r="E280" s="303" t="str">
        <x:v>Ohio Secretary of State</x:v>
      </x:c>
      <x:c r="F280" s="303" t="str">
        <x:v>Predecessor merged into Architonics</x:v>
      </x:c>
      <x:c r="G280" s="303" t="str">
        <x:v>Richard W. Rubenstein; Dorothy Snow; unnamed sole shareholder</x:v>
      </x:c>
      <x:c r="H280" s="303" t="str">
        <x:v>Merger returned to SKWR, 41 S. High St., Columbus, OH 43215; no parcel stated</x:v>
      </x:c>
      <x:c r="I280" s="303" t="str">
        <x:v>primary_image_confirmed</x:v>
      </x:c>
      <x:c r="J280" s="303" t="str">
        <x:v>The agreement names Spring Harbor Properties as a merged corporation, Architonics as survivor, Rubenstein as vice president, and Snow as secretary; all assets and property vested in the survivor</x:v>
      </x:c>
      <x:c r="K280" s="303" t="str">
        <x:v>The sole shareholder is unnamed. Statutory vesting does not prove the predecessor owned land or identify a parcel.</x:v>
      </x:c>
    </x:row>
    <x:row r="281" ht="58" customHeight="1">
      <x:c r="A281" s="303" t="str">
        <x:v>Spring Harbor Properties, Inc.</x:v>
      </x:c>
      <x:c r="B281" s="312" t="n">
        <x:v>32864.5</x:v>
      </x:c>
      <x:c r="C281" s="303" t="str">
        <x:v>party-specific MEX status packet</x:v>
      </x:c>
      <x:c r="D281" s="315" t="str">
        <x:v>G774_0170</x:v>
      </x:c>
      <x:c r="E281" s="303" t="str">
        <x:v>Ohio Secretary of State</x:v>
      </x:c>
      <x:c r="F281" s="303" t="str">
        <x:v>Merged-out status confirmation</x:v>
      </x:c>
      <x:c r="G281" s="303" t="str">
        <x:v>Schwartz, Kelm, Warren &amp; Rubenstein; L. J. Evans</x:v>
      </x:c>
      <x:c r="H281" s="303" t="str">
        <x:v>41 S. High St., Columbus, OH 43215</x:v>
      </x:c>
      <x:c r="I281" s="303" t="str">
        <x:v>primary_image_confirmed</x:v>
      </x:c>
      <x:c r="J281" s="303" t="str">
        <x:v>The three-page packet confirms MEX status for charter 714675 and was processed 1990-01-10 under receipt 48744</x:v>
      </x:c>
      <x:c r="K281" s="303" t="str">
        <x:v>The stub names no survivor, other constituent, shareholder, officer, parcel, Epstein, or Wexner; the Architonics edge comes from G774_0107.</x:v>
      </x:c>
    </x:row>
    <x:row r="282" ht="58" customHeight="1">
      <x:c r="A282" s="303" t="str">
        <x:v>Meade Development Corporation</x:v>
      </x:c>
      <x:c r="B282" s="312" t="n">
        <x:v>32206.5</x:v>
      </x:c>
      <x:c r="C282" s="303" t="str">
        <x:v>domestic articles and original-agent appointment</x:v>
      </x:c>
      <x:c r="D282" s="315" t="str">
        <x:v>G339_1089</x:v>
      </x:c>
      <x:c r="E282" s="303" t="str">
        <x:v>Ohio Secretary of State</x:v>
      </x:c>
      <x:c r="F282" s="303" t="str">
        <x:v>Formation and original statutory-agent appointment</x:v>
      </x:c>
      <x:c r="G282" s="303" t="str">
        <x:v>Dorothy Snow; Len Loraditch</x:v>
      </x:c>
      <x:c r="H282" s="303" t="str">
        <x:v>Principal office: Columbus, Franklin County; c/o SKWR, 41 S. High St., Suite 2300, Columbus, OH 43215</x:v>
      </x:c>
      <x:c r="I282" s="303" t="str">
        <x:v>primary_image_confirmed</x:v>
      </x:c>
      <x:c r="J282" s="303" t="str">
        <x:v>Snow signed the articles dated 1988-03-03 as incorporator and accepted appointment as original agent; a correspondence cover identifies SKWR legal assistant Len Loraditch</x:v>
      </x:c>
      <x:c r="K282" s="303" t="str">
        <x:v>The exact legal name is MEADE DEVELOPMENT CORPORATION. Loraditch is an administrative clue only. No initial officer, director, shareholder, parcel, Epstein, or Wexner is identified.</x:v>
      </x:c>
    </x:row>
    <x:row r="283" ht="58" customHeight="1">
      <x:c r="A283" s="303" t="str">
        <x:v>Meade Development Corporation</x:v>
      </x:c>
      <x:c r="B283" s="312" t="n">
        <x:v>32864.5</x:v>
      </x:c>
      <x:c r="C283" s="303" t="str">
        <x:v>certificate and agreement of merger</x:v>
      </x:c>
      <x:c r="D283" s="315" t="str">
        <x:v>G774_0107</x:v>
      </x:c>
      <x:c r="E283" s="303" t="str">
        <x:v>Ohio Secretary of State</x:v>
      </x:c>
      <x:c r="F283" s="303" t="str">
        <x:v>Predecessor merged into Architonics</x:v>
      </x:c>
      <x:c r="G283" s="303" t="str">
        <x:v>Richard W. Rubenstein; Dorothy Snow; unnamed sole shareholder</x:v>
      </x:c>
      <x:c r="H283" s="303" t="str">
        <x:v>Merger returned to SKWR, 41 S. High St., Columbus, OH 43215; no parcel stated</x:v>
      </x:c>
      <x:c r="I283" s="303" t="str">
        <x:v>primary_image_confirmed</x:v>
      </x:c>
      <x:c r="J283" s="303" t="str">
        <x:v>The agreement names Meade Development Corporation as a merged corporation, Architonics as survivor, Rubenstein as vice president, and Snow as secretary; all assets and property vested in the survivor</x:v>
      </x:c>
      <x:c r="K283" s="303" t="str">
        <x:v>The sole shareholder is unnamed. Statutory vesting does not prove the predecessor owned land or identify a parcel.</x:v>
      </x:c>
    </x:row>
    <x:row r="284" ht="58" customHeight="1">
      <x:c r="A284" s="303" t="str">
        <x:v>Meade Development Corporation</x:v>
      </x:c>
      <x:c r="B284" s="312" t="n">
        <x:v>32864.5</x:v>
      </x:c>
      <x:c r="C284" s="303" t="str">
        <x:v>party-specific MEX status packet</x:v>
      </x:c>
      <x:c r="D284" s="315" t="str">
        <x:v>G774_0152</x:v>
      </x:c>
      <x:c r="E284" s="303" t="str">
        <x:v>Ohio Secretary of State</x:v>
      </x:c>
      <x:c r="F284" s="303" t="str">
        <x:v>Merged-out status confirmation</x:v>
      </x:c>
      <x:c r="G284" s="303" t="str">
        <x:v>Schwartz, Kelm, Warren &amp; Rubenstein; L. J. Evans</x:v>
      </x:c>
      <x:c r="H284" s="303" t="str">
        <x:v>41 S. High St., Columbus, OH 43215</x:v>
      </x:c>
      <x:c r="I284" s="303" t="str">
        <x:v>primary_image_confirmed</x:v>
      </x:c>
      <x:c r="J284" s="303" t="str">
        <x:v>The three-page packet confirms MEX status for charter 719943 and was processed 1990-01-10 under receipt 48738</x:v>
      </x:c>
      <x:c r="K284" s="303" t="str">
        <x:v>The stub names no survivor, other constituent, shareholder, officer, parcel, Epstein, or Wexner; the Architonics edge comes from G774_0107.</x:v>
      </x:c>
    </x:row>
    <x:row r="285" ht="58" customHeight="1">
      <x:c r="A285" s="303" t="str">
        <x:v>Chesser Estates, Inc.</x:v>
      </x:c>
      <x:c r="B285" s="312" t="n">
        <x:v>32211.5</x:v>
      </x:c>
      <x:c r="C285" s="303" t="str">
        <x:v>domestic articles and original-agent appointment</x:v>
      </x:c>
      <x:c r="D285" s="315" t="str">
        <x:v>G343_0266</x:v>
      </x:c>
      <x:c r="E285" s="303" t="str">
        <x:v>Ohio Secretary of State</x:v>
      </x:c>
      <x:c r="F285" s="303" t="str">
        <x:v>Formation and original statutory-agent appointment</x:v>
      </x:c>
      <x:c r="G285" s="303" t="str">
        <x:v>Dorothy Snow; Len Loraditch</x:v>
      </x:c>
      <x:c r="H285" s="303" t="str">
        <x:v>Principal office: Columbus, Franklin County; c/o SKWR, 41 S. High St., Suite 2300, Columbus, OH 43215</x:v>
      </x:c>
      <x:c r="I285" s="303" t="str">
        <x:v>primary_image_confirmed</x:v>
      </x:c>
      <x:c r="J285" s="303" t="str">
        <x:v>Snow signed the articles dated 1988-03-07 as incorporator and accepted appointment as original agent; a correspondence cover identifies SKWR legal assistant Len Loraditch</x:v>
      </x:c>
      <x:c r="K285" s="303" t="str">
        <x:v>Loraditch is an administrative clue only. The packet identifies no initial officer, director, shareholder, parcel, Epstein, or Wexner.</x:v>
      </x:c>
    </x:row>
    <x:row r="286" ht="58" customHeight="1">
      <x:c r="A286" s="303" t="str">
        <x:v>Chesser Estates, Inc.</x:v>
      </x:c>
      <x:c r="B286" s="312" t="n">
        <x:v>32864.5</x:v>
      </x:c>
      <x:c r="C286" s="303" t="str">
        <x:v>certificate and agreement of merger</x:v>
      </x:c>
      <x:c r="D286" s="315" t="str">
        <x:v>G774_0107</x:v>
      </x:c>
      <x:c r="E286" s="303" t="str">
        <x:v>Ohio Secretary of State</x:v>
      </x:c>
      <x:c r="F286" s="303" t="str">
        <x:v>Predecessor merged into Architonics</x:v>
      </x:c>
      <x:c r="G286" s="303" t="str">
        <x:v>Richard W. Rubenstein; Dorothy Snow; unnamed sole shareholder</x:v>
      </x:c>
      <x:c r="H286" s="303" t="str">
        <x:v>Merger returned to SKWR, 41 S. High St., Columbus, OH 43215; no parcel stated</x:v>
      </x:c>
      <x:c r="I286" s="303" t="str">
        <x:v>primary_image_confirmed</x:v>
      </x:c>
      <x:c r="J286" s="303" t="str">
        <x:v>The agreement names Chesser Estates as a merged corporation, Architonics as survivor, Rubenstein as vice president, and Snow as secretary; all assets and property vested in the survivor</x:v>
      </x:c>
      <x:c r="K286" s="303" t="str">
        <x:v>The sole shareholder is unnamed. Statutory vesting does not prove the predecessor owned land or identify a parcel.</x:v>
      </x:c>
    </x:row>
    <x:row r="287" ht="58" customHeight="1">
      <x:c r="A287" s="303" t="str">
        <x:v>Chesser Estates, Inc.</x:v>
      </x:c>
      <x:c r="B287" s="312" t="n">
        <x:v>32864.5</x:v>
      </x:c>
      <x:c r="C287" s="303" t="str">
        <x:v>party-specific MEX status packet</x:v>
      </x:c>
      <x:c r="D287" s="315" t="str">
        <x:v>G774_0128</x:v>
      </x:c>
      <x:c r="E287" s="303" t="str">
        <x:v>Ohio Secretary of State</x:v>
      </x:c>
      <x:c r="F287" s="303" t="str">
        <x:v>Merged-out status confirmation</x:v>
      </x:c>
      <x:c r="G287" s="303" t="str">
        <x:v>Schwartz, Kelm, Warren &amp; Rubenstein; L. J. Evans</x:v>
      </x:c>
      <x:c r="H287" s="303" t="str">
        <x:v>41 S. High St., Columbus, OH 43215</x:v>
      </x:c>
      <x:c r="I287" s="303" t="str">
        <x:v>primary_image_confirmed</x:v>
      </x:c>
      <x:c r="J287" s="303" t="str">
        <x:v>The three-page packet confirms MEX status for charter 720366 and was processed 1990-01-10 under receipt 48730</x:v>
      </x:c>
      <x:c r="K287" s="303" t="str">
        <x:v>The stub names no survivor, other constituent, shareholder, officer, parcel, Epstein, or Wexner; the Architonics edge comes from G774_0107.</x:v>
      </x:c>
    </x:row>
    <x:row r="288" ht="58" customHeight="1">
      <x:c r="A288" s="303" t="str">
        <x:v>Palm Properties, Inc.</x:v>
      </x:c>
      <x:c r="B288" s="312" t="n">
        <x:v>32211.5</x:v>
      </x:c>
      <x:c r="C288" s="303" t="str">
        <x:v>domestic articles and original-agent appointment</x:v>
      </x:c>
      <x:c r="D288" s="315" t="str">
        <x:v>G343_0231</x:v>
      </x:c>
      <x:c r="E288" s="303" t="str">
        <x:v>Ohio Secretary of State</x:v>
      </x:c>
      <x:c r="F288" s="303" t="str">
        <x:v>Formation and original statutory-agent appointment</x:v>
      </x:c>
      <x:c r="G288" s="303" t="str">
        <x:v>Dorothy Snow; Len Loraditch</x:v>
      </x:c>
      <x:c r="H288" s="303" t="str">
        <x:v>Principal office: Columbus, Franklin County; c/o SKWR, 41 S. High St., Suite 2300, Columbus, OH 43215</x:v>
      </x:c>
      <x:c r="I288" s="303" t="str">
        <x:v>primary_image_confirmed</x:v>
      </x:c>
      <x:c r="J288" s="303" t="str">
        <x:v>Snow signed the articles dated 1988-03-07 as incorporator and accepted appointment as original agent; a correspondence cover identifies SKWR legal assistant Len Loraditch</x:v>
      </x:c>
      <x:c r="K288" s="303" t="str">
        <x:v>Loraditch is an administrative clue only. The packet identifies no initial officer, director, shareholder, parcel, Epstein, or Wexner.</x:v>
      </x:c>
    </x:row>
    <x:row r="289" ht="58" customHeight="1">
      <x:c r="A289" s="303" t="str">
        <x:v>Palm Properties, Inc.</x:v>
      </x:c>
      <x:c r="B289" s="312" t="n">
        <x:v>32864.5</x:v>
      </x:c>
      <x:c r="C289" s="303" t="str">
        <x:v>certificate and agreement of merger</x:v>
      </x:c>
      <x:c r="D289" s="315" t="str">
        <x:v>G774_0107</x:v>
      </x:c>
      <x:c r="E289" s="303" t="str">
        <x:v>Ohio Secretary of State</x:v>
      </x:c>
      <x:c r="F289" s="303" t="str">
        <x:v>Predecessor merged into Architonics</x:v>
      </x:c>
      <x:c r="G289" s="303" t="str">
        <x:v>Richard W. Rubenstein; Dorothy Snow; unnamed sole shareholder</x:v>
      </x:c>
      <x:c r="H289" s="303" t="str">
        <x:v>Merger returned to SKWR, 41 S. High St., Columbus, OH 43215; no parcel stated</x:v>
      </x:c>
      <x:c r="I289" s="303" t="str">
        <x:v>primary_image_confirmed</x:v>
      </x:c>
      <x:c r="J289" s="303" t="str">
        <x:v>The agreement names Palm Properties as a merged corporation, Architonics as survivor, Rubenstein as vice president, and Snow as secretary; all assets and property vested in the survivor</x:v>
      </x:c>
      <x:c r="K289" s="303" t="str">
        <x:v>The sole shareholder is unnamed. Statutory vesting does not prove the predecessor owned land or identify a parcel.</x:v>
      </x:c>
    </x:row>
    <x:row r="290" ht="58" customHeight="1">
      <x:c r="A290" s="303" t="str">
        <x:v>Palm Properties, Inc.</x:v>
      </x:c>
      <x:c r="B290" s="312" t="n">
        <x:v>32864.5</x:v>
      </x:c>
      <x:c r="C290" s="303" t="str">
        <x:v>party-specific MEX status packet</x:v>
      </x:c>
      <x:c r="D290" s="315" t="str">
        <x:v>G774_0164</x:v>
      </x:c>
      <x:c r="E290" s="303" t="str">
        <x:v>Ohio Secretary of State</x:v>
      </x:c>
      <x:c r="F290" s="303" t="str">
        <x:v>Merged-out status confirmation</x:v>
      </x:c>
      <x:c r="G290" s="303" t="str">
        <x:v>Schwartz, Kelm, Warren &amp; Rubenstein; L. J. Evans</x:v>
      </x:c>
      <x:c r="H290" s="303" t="str">
        <x:v>41 S. High St., Columbus, OH 43215</x:v>
      </x:c>
      <x:c r="I290" s="303" t="str">
        <x:v>primary_image_confirmed</x:v>
      </x:c>
      <x:c r="J290" s="303" t="str">
        <x:v>The three-page packet confirms MEX status for charter 720361 and was processed 1990-01-10 under receipt 48742</x:v>
      </x:c>
      <x:c r="K290" s="303" t="str">
        <x:v>The stub names no survivor, other constituent, shareholder, officer, parcel, Epstein, or Wexner; the Architonics edge comes from G774_0107.</x:v>
      </x:c>
    </x:row>
    <x:row r="291" ht="58" customHeight="1">
      <x:c r="A291" s="303" t="str">
        <x:v>Timbre Properties, Inc.</x:v>
      </x:c>
      <x:c r="B291" s="312" t="n">
        <x:v>32211.5</x:v>
      </x:c>
      <x:c r="C291" s="303" t="str">
        <x:v>domestic articles and original-agent appointment</x:v>
      </x:c>
      <x:c r="D291" s="315" t="str">
        <x:v>G344_0548</x:v>
      </x:c>
      <x:c r="E291" s="303" t="str">
        <x:v>Ohio Secretary of State</x:v>
      </x:c>
      <x:c r="F291" s="303" t="str">
        <x:v>Formation and original statutory-agent appointment</x:v>
      </x:c>
      <x:c r="G291" s="303" t="str">
        <x:v>Dorothy Snow; Len Loraditch</x:v>
      </x:c>
      <x:c r="H291" s="303" t="str">
        <x:v>Principal office: Columbus, Franklin County; c/o SKWR, 41 S. High St., Suite 2300, Columbus, OH 43215</x:v>
      </x:c>
      <x:c r="I291" s="303" t="str">
        <x:v>primary_image_confirmed</x:v>
      </x:c>
      <x:c r="J291" s="303" t="str">
        <x:v>Snow signed the articles dated 1988-03-07 as incorporator and accepted appointment as original agent; a correspondence cover identifies SKWR legal assistant Len Loraditch</x:v>
      </x:c>
      <x:c r="K291" s="303" t="str">
        <x:v>Loraditch is an administrative clue only. The packet identifies no initial officer, director, shareholder, parcel, Epstein, or Wexner.</x:v>
      </x:c>
    </x:row>
    <x:row r="292" ht="58" customHeight="1">
      <x:c r="A292" s="303" t="str">
        <x:v>Timbre Properties, Inc.</x:v>
      </x:c>
      <x:c r="B292" s="312" t="n">
        <x:v>32864.5</x:v>
      </x:c>
      <x:c r="C292" s="303" t="str">
        <x:v>certificate and agreement of merger</x:v>
      </x:c>
      <x:c r="D292" s="315" t="str">
        <x:v>G774_0107</x:v>
      </x:c>
      <x:c r="E292" s="303" t="str">
        <x:v>Ohio Secretary of State</x:v>
      </x:c>
      <x:c r="F292" s="303" t="str">
        <x:v>Predecessor merged into Architonics</x:v>
      </x:c>
      <x:c r="G292" s="303" t="str">
        <x:v>Richard W. Rubenstein; Dorothy Snow; unnamed sole shareholder</x:v>
      </x:c>
      <x:c r="H292" s="303" t="str">
        <x:v>Merger returned to SKWR, 41 S. High St., Columbus, OH 43215; no parcel stated</x:v>
      </x:c>
      <x:c r="I292" s="303" t="str">
        <x:v>primary_image_confirmed</x:v>
      </x:c>
      <x:c r="J292" s="303" t="str">
        <x:v>The agreement names Timbre Properties as a merged corporation, Architonics as survivor, Rubenstein as vice president, and Snow as secretary; all assets and property vested in the survivor</x:v>
      </x:c>
      <x:c r="K292" s="303" t="str">
        <x:v>The sole shareholder is unnamed. Statutory vesting does not prove the predecessor owned land or identify a parcel.</x:v>
      </x:c>
    </x:row>
    <x:row r="293" ht="58" customHeight="1">
      <x:c r="A293" s="303" t="str">
        <x:v>Timbre Properties, Inc.</x:v>
      </x:c>
      <x:c r="B293" s="312" t="n">
        <x:v>32864.5</x:v>
      </x:c>
      <x:c r="C293" s="303" t="str">
        <x:v>party-specific MEX status packet</x:v>
      </x:c>
      <x:c r="D293" s="315" t="str">
        <x:v>G774_0179</x:v>
      </x:c>
      <x:c r="E293" s="303" t="str">
        <x:v>Ohio Secretary of State</x:v>
      </x:c>
      <x:c r="F293" s="303" t="str">
        <x:v>Merged-out status confirmation</x:v>
      </x:c>
      <x:c r="G293" s="303" t="str">
        <x:v>Schwartz, Kelm, Warren &amp; Rubenstein; L. J. Evans</x:v>
      </x:c>
      <x:c r="H293" s="303" t="str">
        <x:v>41 S. High St., Columbus, OH 43215</x:v>
      </x:c>
      <x:c r="I293" s="303" t="str">
        <x:v>primary_image_confirmed</x:v>
      </x:c>
      <x:c r="J293" s="303" t="str">
        <x:v>The three-page packet confirms MEX status for charter 720489 and was processed 1990-01-10 under receipt 48747</x:v>
      </x:c>
      <x:c r="K293" s="303" t="str">
        <x:v>The stub names no survivor, other constituent, shareholder, officer, parcel, Epstein, or Wexner; the Architonics edge comes from G774_0107.</x:v>
      </x:c>
    </x:row>
    <x:row r="294" ht="58" customHeight="1">
      <x:c r="A294" s="303" t="str">
        <x:v>INN Investment Corp.</x:v>
      </x:c>
      <x:c r="B294" s="312" t="n">
        <x:v>31651.5</x:v>
      </x:c>
      <x:c r="C294" s="303" t="str">
        <x:v>limited-partnership certificate</x:v>
      </x:c>
      <x:c r="D294" s="315" t="str">
        <x:v>198608270148627</x:v>
      </x:c>
      <x:c r="E294" s="303" t="str">
        <x:v>Franklin County Recorder</x:v>
      </x:c>
      <x:c r="F294" s="303" t="str">
        <x:v>INN was listed as a limited partner in BI Limited Partnership</x:v>
      </x:c>
      <x:c r="G294" s="303" t="str">
        <x:v>INN Investment Corp.; Boulevard Inn Management Corp.; Dorothy Snow</x:v>
      </x:c>
      <x:c r="H294" s="303" t="str">
        <x:v>Columbus hotel venture; no parcel stated</x:v>
      </x:c>
      <x:c r="I294" s="303" t="str">
        <x:v>primary_image_confirmed</x:v>
      </x:c>
      <x:c r="J294" s="303" t="str">
        <x:v>INN's conditional cash contribution was capped at $831,680 and possible deficit contribution at $50,000</x:v>
      </x:c>
      <x:c r="K294" s="303" t="str">
        <x:v>Partnership obligations are not a hotel purchase price, mortgage, or proof of fee title.</x:v>
      </x:c>
    </x:row>
    <x:row r="295" ht="58" customHeight="1">
      <x:c r="A295" s="303" t="str">
        <x:v>INN Investment Corp.</x:v>
      </x:c>
      <x:c r="B295" s="312" t="n">
        <x:v>33718.5</x:v>
      </x:c>
      <x:c r="C295" s="303" t="str">
        <x:v>limited-partnership amendment</x:v>
      </x:c>
      <x:c r="D295" s="315" t="str">
        <x:v>199204240104818</x:v>
      </x:c>
      <x:c r="E295" s="303" t="str">
        <x:v>Franklin County Recorder</x:v>
      </x:c>
      <x:c r="F295" s="303" t="str">
        <x:v>Amendment records INN's withdrawal from BI Limited Partnership</x:v>
      </x:c>
      <x:c r="G295" s="303" t="str">
        <x:v>INN Investment Corp.; BI Limited Partnership</x:v>
      </x:c>
      <x:c r="H295" s="303" t="str">
        <x:v>No parcel stated</x:v>
      </x:c>
      <x:c r="I295" s="303" t="str">
        <x:v>primary_image_confirmed</x:v>
      </x:c>
      <x:c r="J295" s="303" t="str">
        <x:v>INN ceased to be a listed limited partner</x:v>
      </x:c>
      <x:c r="K295" s="303" t="str">
        <x:v>The amendment does not identify a fee-property transfer or corporate successor.</x:v>
      </x:c>
    </x:row>
    <x:row r="296" ht="58" customHeight="1">
      <x:c r="A296" s="303" t="str">
        <x:v>Cherry Bottom Properties, Inc.</x:v>
      </x:c>
      <x:c r="B296" s="312" t="n">
        <x:v>33515.5</x:v>
      </x:c>
      <x:c r="C296" s="303" t="str">
        <x:v>limited warranty deed</x:v>
      </x:c>
      <x:c r="D296" s="315" t="str">
        <x:v>199110040159339</x:v>
      </x:c>
      <x:c r="E296" s="303" t="str">
        <x:v>Franklin County Recorder</x:v>
      </x:c>
      <x:c r="F296" s="303" t="str">
        <x:v>Cherry Bottom Properties conveyed the 33.664-acre tract to KG Partners</x:v>
      </x:c>
      <x:c r="G296" s="303" t="str">
        <x:v>Cherry Bottom Properties, Inc.; KG Partners; Jeffrey E. Epstein</x:v>
      </x:c>
      <x:c r="H296" s="303" t="str">
        <x:v>33.664 gross / 32.517 net acres; parcels then indexed as 025-4294 and 025-4278</x:v>
      </x:c>
      <x:c r="I296" s="303" t="str">
        <x:v>primary_image_confirmed</x:v>
      </x:c>
      <x:c r="J296" s="303" t="str">
        <x:v>Epstein executed the deed as Cherry Bottom Properties vice president</x:v>
      </x:c>
      <x:c r="K296" s="303" t="str">
        <x:v>Corporate execution is not beneficial ownership; valuable consideration and tax stamps are not treated as price.</x:v>
      </x:c>
    </x:row>
    <x:row r="297" ht="58" customHeight="1">
      <x:c r="A297" s="303" t="str">
        <x:v>Cherry Bottom Properties, Inc.</x:v>
      </x:c>
      <x:c r="B297" s="312" t="n">
        <x:v>33515.5</x:v>
      </x:c>
      <x:c r="C297" s="303" t="str">
        <x:v>seller mortgage</x:v>
      </x:c>
      <x:c r="D297" s="315" t="str">
        <x:v>199110040159341</x:v>
      </x:c>
      <x:c r="E297" s="303" t="str">
        <x:v>Franklin County Recorder</x:v>
      </x:c>
      <x:c r="F297" s="303" t="str">
        <x:v>KG mortgaged the tract to Cherry Bottom Properties to secure seller financing</x:v>
      </x:c>
      <x:c r="G297" s="303" t="str">
        <x:v>KG Partners; Cherry Bottom Properties</x:v>
      </x:c>
      <x:c r="H297" s="303" t="str">
        <x:v>33.664-acre Christopher Wren tract</x:v>
      </x:c>
      <x:c r="I297" s="303" t="str">
        <x:v>primary_image_confirmed</x:v>
      </x:c>
      <x:c r="J297" s="303" t="str">
        <x:v>The mortgage secured up to $1,080,000 and was subordinate to Bank One's mortgage</x:v>
      </x:c>
      <x:c r="K297" s="303" t="str">
        <x:v>Debt ceiling is not a purchase price or payoff amount.</x:v>
      </x:c>
    </x:row>
    <x:row r="298" ht="58" customHeight="1">
      <x:c r="A298" s="303" t="str">
        <x:v>Cherry Bottom Properties, Inc.</x:v>
      </x:c>
      <x:c r="B298" s="312" t="n">
        <x:v>33638.5</x:v>
      </x:c>
      <x:c r="C298" s="303" t="str">
        <x:v>general warranty deed</x:v>
      </x:c>
      <x:c r="D298" s="315" t="str">
        <x:v>199202040059473</x:v>
      </x:c>
      <x:c r="E298" s="303" t="str">
        <x:v>Franklin County Recorder</x:v>
      </x:c>
      <x:c r="F298" s="303" t="str">
        <x:v>Cherry Bottom Properties conveyed a Gahanna medical-office tract to Gahanna Medical Limited Partnership</x:v>
      </x:c>
      <x:c r="G298" s="303" t="str">
        <x:v>Cherry Bottom Properties, Inc.; Gahanna Medical Limited Partnership; Jeffrey E. Epstein</x:v>
      </x:c>
      <x:c r="H298" s="303" t="str">
        <x:v>Gahanna medical-office tract</x:v>
      </x:c>
      <x:c r="I298" s="303" t="str">
        <x:v>primary_image_confirmed</x:v>
      </x:c>
      <x:c r="J298" s="303" t="str">
        <x:v>Epstein signed as Cherry Bottom Properties vice president</x:v>
      </x:c>
      <x:c r="K298" s="303" t="str">
        <x:v>The officer signature does not establish personal title or beneficial ownership.</x:v>
      </x:c>
    </x:row>
    <x:row r="299" ht="58" customHeight="1">
      <x:c r="A299" s="303" t="str">
        <x:v>Cherry Bottom Properties, Inc.</x:v>
      </x:c>
      <x:c r="B299" s="312" t="n">
        <x:v>34162.5</x:v>
      </x:c>
      <x:c r="C299" s="303" t="str">
        <x:v>mortgage satisfaction</x:v>
      </x:c>
      <x:c r="D299" s="315" t="str">
        <x:v>199307120168459</x:v>
      </x:c>
      <x:c r="E299" s="303" t="str">
        <x:v>Franklin County Recorder</x:v>
      </x:c>
      <x:c r="F299" s="303" t="str">
        <x:v>Cherry Bottom Properties discharged its KG seller mortgage</x:v>
      </x:c>
      <x:c r="G299" s="303" t="str">
        <x:v>Cherry Bottom Properties; KG Partners</x:v>
      </x:c>
      <x:c r="H299" s="303" t="str">
        <x:v>33.664-acre Christopher Wren tract</x:v>
      </x:c>
      <x:c r="I299" s="303" t="str">
        <x:v>primary_image_confirmed</x:v>
      </x:c>
      <x:c r="J299" s="303" t="str">
        <x:v>The identified $1.08 million mortgage was fully paid and satisfied</x:v>
      </x:c>
      <x:c r="K299" s="303" t="str">
        <x:v>The release does not state the payoff amount or source of funds.</x:v>
      </x:c>
    </x:row>
    <x:row r="300" ht="58" customHeight="1">
      <x:c r="A300" s="303" t="str">
        <x:v>Park Properties, Inc.</x:v>
      </x:c>
      <x:c r="B300" s="312" t="n">
        <x:v>30715.5</x:v>
      </x:c>
      <x:c r="C300" s="303" t="str">
        <x:v>open-end mortgage and security agreement</x:v>
      </x:c>
      <x:c r="D300" s="315" t="str">
        <x:v>198402030051783</x:v>
      </x:c>
      <x:c r="E300" s="303" t="str">
        <x:v>Franklin County Recorder</x:v>
      </x:c>
      <x:c r="F300" s="303" t="str">
        <x:v>Dean Fried mortgaged five Columbus tract groups to Park Properties</x:v>
      </x:c>
      <x:c r="G300" s="303" t="str">
        <x:v>Dean W. Fried; Park Properties, Inc.; C.H. Development Group</x:v>
      </x:c>
      <x:c r="H300" s="303" t="str">
        <x:v>Five Northwood Heights / Indianola Summit / Dennison Summit lot groups</x:v>
      </x:c>
      <x:c r="I300" s="303" t="str">
        <x:v>primary_image_confirmed</x:v>
      </x:c>
      <x:c r="J300" s="303" t="str">
        <x:v>One C.H. Development Group loan was capped at $5 million; Fried's 23% guaranty was secured up to $1.15 million</x:v>
      </x:c>
      <x:c r="K300" s="303" t="str">
        <x:v>Park was mortgagee/general partner, not the fee owner; the index amount is not repeated debt exposure.</x:v>
      </x:c>
    </x:row>
    <x:row r="301" ht="58" customHeight="1">
      <x:c r="A301" s="303" t="str">
        <x:v>Park Properties, Inc.</x:v>
      </x:c>
      <x:c r="B301" s="312" t="n">
        <x:v>31419.5</x:v>
      </x:c>
      <x:c r="C301" s="303" t="str">
        <x:v>duplicate-record satisfactions</x:v>
      </x:c>
      <x:c r="D301" s="315" t="str">
        <x:v>198601070053215;198601070053216</x:v>
      </x:c>
      <x:c r="E301" s="303" t="str">
        <x:v>Franklin County Recorder</x:v>
      </x:c>
      <x:c r="F301" s="303" t="str">
        <x:v>Two satisfactions identify F-08 and F-13 as recorder-inadvertence duplicates of F-03</x:v>
      </x:c>
      <x:c r="G301" s="303" t="str">
        <x:v>Dean W. Fried; Park Properties</x:v>
      </x:c>
      <x:c r="H301" s="303" t="str">
        <x:v>Same five-tract collateral</x:v>
      </x:c>
      <x:c r="I301" s="303" t="str">
        <x:v>primary_image_confirmed</x:v>
      </x:c>
      <x:c r="J301" s="303" t="str">
        <x:v>The apparent three $5 million index entries represented one transaction</x:v>
      </x:c>
      <x:c r="K301" s="303" t="str">
        <x:v>These instruments preserved the operative F-03 lien; they were not its final release.</x:v>
      </x:c>
    </x:row>
    <x:row r="302" ht="58" customHeight="1">
      <x:c r="A302" s="303" t="str">
        <x:v>Park Properties, Inc.</x:v>
      </x:c>
      <x:c r="B302" s="312" t="n">
        <x:v>32924.5</x:v>
      </x:c>
      <x:c r="C302" s="303" t="str">
        <x:v>full mortgage satisfaction</x:v>
      </x:c>
      <x:c r="D302" s="315" t="str">
        <x:v>199002200063673</x:v>
      </x:c>
      <x:c r="E302" s="303" t="str">
        <x:v>Franklin County Recorder</x:v>
      </x:c>
      <x:c r="F302" s="303" t="str">
        <x:v>Park Properties fully discharged the operative F-03 mortgage</x:v>
      </x:c>
      <x:c r="G302" s="303" t="str">
        <x:v>Dean W. Fried; Park Properties</x:v>
      </x:c>
      <x:c r="H302" s="303" t="str">
        <x:v>Remaining five-tract collateral</x:v>
      </x:c>
      <x:c r="I302" s="303" t="str">
        <x:v>primary_image_confirmed</x:v>
      </x:c>
      <x:c r="J302" s="303" t="str">
        <x:v>The operative recorded mortgage was fully satisfied before Park's 1992 dissolution</x:v>
      </x:c>
      <x:c r="K302" s="303" t="str">
        <x:v>The release gives no payoff amount and does not establish a corporate merger or title ownership.</x:v>
      </x:c>
    </x:row>
    <x:row r="303" ht="58" customHeight="1">
      <x:c r="A303" s="303" t="str">
        <x:v>C-Wren Investment Corp.</x:v>
      </x:c>
      <x:c r="B303" s="312" t="n">
        <x:v>33515.5</x:v>
      </x:c>
      <x:c r="C303" s="303" t="str">
        <x:v>KG partnership certificate</x:v>
      </x:c>
      <x:c r="D303" s="315" t="str">
        <x:v>199110040159108</x:v>
      </x:c>
      <x:c r="E303" s="303" t="str">
        <x:v>Franklin County Recorder</x:v>
      </x:c>
      <x:c r="F303" s="303" t="str">
        <x:v>K-L Partners and C-Wren were all named members of KG Partners</x:v>
      </x:c>
      <x:c r="G303" s="303" t="str">
        <x:v>K-L Partners, Inc.; C-Wren Investment Corp.; Jeffrey E. Epstein</x:v>
      </x:c>
      <x:c r="H303" s="303" t="str">
        <x:v>C-Wren address 41 S. High St., Suite 3710; attention Epstein</x:v>
      </x:c>
      <x:c r="I303" s="303" t="str">
        <x:v>primary_image_confirmed</x:v>
      </x:c>
      <x:c r="J303" s="303" t="str">
        <x:v>Epstein signed and acknowledged as C-Wren vice president</x:v>
      </x:c>
      <x:c r="K303" s="303" t="str">
        <x:v>No KG ownership percentage or Epstein beneficial ownership is stated.</x:v>
      </x:c>
    </x:row>
    <x:row r="304" ht="58" customHeight="1">
      <x:c r="A304" s="303" t="str">
        <x:v>C-Wren Investment Corp.</x:v>
      </x:c>
      <x:c r="B304" s="312" t="n">
        <x:v>33515.5</x:v>
      </x:c>
      <x:c r="C304" s="303" t="str">
        <x:v>Christopher Wren limited-partnership certificate</x:v>
      </x:c>
      <x:c r="D304" s="315" t="str">
        <x:v>199110040159230</x:v>
      </x:c>
      <x:c r="E304" s="303" t="str">
        <x:v>Franklin County Recorder</x:v>
      </x:c>
      <x:c r="F304" s="303" t="str">
        <x:v>KG was managing general partner of Christopher Wren Apartments Limited Partnership</x:v>
      </x:c>
      <x:c r="G304" s="303" t="str">
        <x:v>KG Partners; Nationwide Development; Nationwide Life</x:v>
      </x:c>
      <x:c r="H304" s="303" t="str">
        <x:v>Christopher Wren Apartments project; no legal description in certificate</x:v>
      </x:c>
      <x:c r="I304" s="303" t="str">
        <x:v>primary_image_confirmed</x:v>
      </x:c>
      <x:c r="J304" s="303" t="str">
        <x:v>Qualified allocations were stated as KG 50%, Nationwide Development 1%, and Nationwide Life 49%</x:v>
      </x:c>
      <x:c r="K304" s="303" t="str">
        <x:v>The certificate does not allocate KG's 50% between K-L and C-Wren.</x:v>
      </x:c>
    </x:row>
    <x:row r="305" ht="58" customHeight="1">
      <x:c r="A305" s="303" t="str">
        <x:v>C-Wren Investment Corp.</x:v>
      </x:c>
      <x:c r="B305" s="312" t="n">
        <x:v>33515.5</x:v>
      </x:c>
      <x:c r="C305" s="303" t="str">
        <x:v>Bank One open-end mortgage</x:v>
      </x:c>
      <x:c r="D305" s="315" t="str">
        <x:v>199110040159340</x:v>
      </x:c>
      <x:c r="E305" s="303" t="str">
        <x:v>Franklin County Recorder</x:v>
      </x:c>
      <x:c r="F305" s="303" t="str">
        <x:v>KG mortgaged the Christopher Wren tract to Bank One</x:v>
      </x:c>
      <x:c r="G305" s="303" t="str">
        <x:v>KG Partners; Bank One</x:v>
      </x:c>
      <x:c r="H305" s="303" t="str">
        <x:v>33.664 gross / 32.517 net acres</x:v>
      </x:c>
      <x:c r="I305" s="303" t="str">
        <x:v>primary_image_confirmed</x:v>
      </x:c>
      <x:c r="J305" s="303" t="str">
        <x:v>Maximum unpaid indebtedness was $12 million across three stated notes</x:v>
      </x:c>
      <x:c r="K305" s="303" t="str">
        <x:v>The ceiling is not a sale price or payoff; C-Wren did not separately execute this mortgage.</x:v>
      </x:c>
    </x:row>
    <x:row r="306" ht="58" customHeight="1">
      <x:c r="A306" s="303" t="str">
        <x:v>C-Wren Investment Corp.</x:v>
      </x:c>
      <x:c r="B306" s="312" t="n">
        <x:v>34102.5</x:v>
      </x:c>
      <x:c r="C306" s="303" t="str">
        <x:v>quitclaim right-of-way deed</x:v>
      </x:c>
      <x:c r="D306" s="315" t="str">
        <x:v>199305130127826</x:v>
      </x:c>
      <x:c r="E306" s="303" t="str">
        <x:v>Franklin County Recorder</x:v>
      </x:c>
      <x:c r="F306" s="303" t="str">
        <x:v>KG conveyed a 1.147-acre Morse Road right-of-way to Columbus while reserving ingress/egress</x:v>
      </x:c>
      <x:c r="G306" s="303" t="str">
        <x:v>KG Partners; City of Columbus; C-Wren Investment Corp.; Jeffrey E. Epstein</x:v>
      </x:c>
      <x:c r="H306" s="303" t="str">
        <x:v>1.147-acre right-of-way from the 33.664-acre tract</x:v>
      </x:c>
      <x:c r="I306" s="303" t="str">
        <x:v>primary_image_confirmed</x:v>
      </x:c>
      <x:c r="J306" s="303" t="str">
        <x:v>Epstein signed as C-Wren vice president and C-Wren executed as a KG partner</x:v>
      </x:c>
      <x:c r="K306" s="303" t="str">
        <x:v>The nominal $1 recital is not treated as market value or personal consideration.</x:v>
      </x:c>
    </x:row>
    <x:row r="307" ht="58" customHeight="1">
      <x:c r="A307" s="303" t="str">
        <x:v>C-Wren Investment Corp.</x:v>
      </x:c>
      <x:c r="B307" s="312" t="n">
        <x:v>34159.5</x:v>
      </x:c>
      <x:c r="C307" s="303" t="str">
        <x:v>special warranty deed</x:v>
      </x:c>
      <x:c r="D307" s="315" t="str">
        <x:v>199307090167426</x:v>
      </x:c>
      <x:c r="E307" s="303" t="str">
        <x:v>Franklin County Recorder</x:v>
      </x:c>
      <x:c r="F307" s="303" t="str">
        <x:v>KG conveyed the apartment tract to Christopher Wren Apartments Limited Partnership</x:v>
      </x:c>
      <x:c r="G307" s="303" t="str">
        <x:v>KG Partners; Christopher Wren Apartments Limited Partnership</x:v>
      </x:c>
      <x:c r="H307" s="303" t="str">
        <x:v>33.664 gross / 32.517 net acres</x:v>
      </x:c>
      <x:c r="I307" s="303" t="str">
        <x:v>primary_image_confirmed</x:v>
      </x:c>
      <x:c r="J307" s="303" t="str">
        <x:v>The deed moved record title into the project limited partnership</x:v>
      </x:c>
      <x:c r="K307" s="303" t="str">
        <x:v>The $10 recital and conveyance-tax stamp are not treated as sale price.</x:v>
      </x:c>
    </x:row>
    <x:row r="308" ht="58" customHeight="1">
      <x:c r="A308" s="303" t="str">
        <x:v>C-Wren Investment Corp.</x:v>
      </x:c>
      <x:c r="B308" s="312" t="n">
        <x:v>34162.5</x:v>
      </x:c>
      <x:c r="C308" s="303" t="str">
        <x:v>Bank One mortgage release</x:v>
      </x:c>
      <x:c r="D308" s="315" t="str">
        <x:v>199307120168458</x:v>
      </x:c>
      <x:c r="E308" s="303" t="str">
        <x:v>Franklin County Recorder</x:v>
      </x:c>
      <x:c r="F308" s="303" t="str">
        <x:v>Bank One released its KG open-end mortgage</x:v>
      </x:c>
      <x:c r="G308" s="303" t="str">
        <x:v>Bank One; KG Partners</x:v>
      </x:c>
      <x:c r="H308" s="303" t="str">
        <x:v>33.664-acre Christopher Wren tract</x:v>
      </x:c>
      <x:c r="I308" s="303" t="str">
        <x:v>primary_image_confirmed</x:v>
      </x:c>
      <x:c r="J308" s="303" t="str">
        <x:v>The identified $12 million-ceiling mortgage was satisfied and released</x:v>
      </x:c>
      <x:c r="K308" s="303" t="str">
        <x:v>The release does not state payoff amount or the status of another lien; the Cherry mortgage has its own separate satisfaction.</x:v>
      </x:c>
    </x:row>
    <x:row r="309" ht="58" customHeight="1">
      <x:c r="A309" s="303" t="str">
        <x:v>Rocky Fork Development Corporation</x:v>
      </x:c>
      <x:c r="B309" s="312" t="n">
        <x:v>32142.5</x:v>
      </x:c>
      <x:c r="C309" s="303" t="str">
        <x:v>four merger-successor deeds</x:v>
      </x:c>
      <x:c r="D309" s="315" t="str">
        <x:v>198712310221397;198712310221398;198712310221399;198712310221400</x:v>
      </x:c>
      <x:c r="E309" s="303" t="str">
        <x:v>Franklin County Recorder</x:v>
      </x:c>
      <x:c r="F309" s="303" t="str">
        <x:v>Four deeds conveyed predecessor-derived land to The New Albany Company</x:v>
      </x:c>
      <x:c r="G309" s="303" t="str">
        <x:v>Rocky Fork Development Corporation; The Hinson Company; Brewer Farms, Inc.; Central Falls, Inc.; Bearce Hollow, Inc.; The New Albany Company</x:v>
      </x:c>
      <x:c r="H309" s="303" t="str">
        <x:v>Four separately described Franklin County tracts</x:v>
      </x:c>
      <x:c r="I309" s="303" t="str">
        <x:v>primary_image_confirmed</x:v>
      </x:c>
      <x:c r="J309" s="303" t="str">
        <x:v>The deeds call Rocky Fork successor by merger to each named predecessor</x:v>
      </x:c>
      <x:c r="K309" s="303" t="str">
        <x:v>Recorder capacity recitals are strong title evidence but are not substitutes for every underlying statutory merger certificate.</x:v>
      </x:c>
    </x:row>
    <x:row r="310" ht="58" customHeight="1">
      <x:c r="A310" s="303" t="str">
        <x:v>Rocky Fork Development Corporation</x:v>
      </x:c>
      <x:c r="B310" s="312" t="n">
        <x:v>33578.5</x:v>
      </x:c>
      <x:c r="C310" s="303" t="str">
        <x:v>amended New Albany partnership certificate</x:v>
      </x:c>
      <x:c r="D310" s="315" t="str">
        <x:v>199112060187246</x:v>
      </x:c>
      <x:c r="E310" s="303" t="str">
        <x:v>Franklin County Recorder</x:v>
      </x:c>
      <x:c r="F310" s="303" t="str">
        <x:v>Amendment records Rocky Fork and Community Projects roles in The New Albany Company</x:v>
      </x:c>
      <x:c r="G310" s="303" t="str">
        <x:v>Rocky Fork Development Corp.; Community Projects, Inc.; Jeffrey E. Epstein</x:v>
      </x:c>
      <x:c r="H310" s="303" t="str">
        <x:v>New Albany development partnership; no single parcel</x:v>
      </x:c>
      <x:c r="I310" s="303" t="str">
        <x:v>primary_image_confirmed</x:v>
      </x:c>
      <x:c r="J310" s="303" t="str">
        <x:v>Epstein signed as Rocky Fork president and Community Projects vice president</x:v>
      </x:c>
      <x:c r="K310" s="303" t="str">
        <x:v>Dual officer capacity is not proof of beneficial ownership.</x:v>
      </x:c>
    </x:row>
    <x:row r="311" ht="58" customHeight="1">
      <x:c r="A311" s="303" t="str">
        <x:v>Rocky Fork Development Corporation</x:v>
      </x:c>
      <x:c r="B311" s="312" t="n">
        <x:v>33946.5</x:v>
      </x:c>
      <x:c r="C311" s="303" t="str">
        <x:v>confirmatory general warranty deed</x:v>
      </x:c>
      <x:c r="D311" s="315" t="str">
        <x:v>199212080242110</x:v>
      </x:c>
      <x:c r="E311" s="303" t="str">
        <x:v>Franklin County Recorder</x:v>
      </x:c>
      <x:c r="F311" s="303" t="str">
        <x:v>The Ohio New Albany general partnership confirmed transfer of its Franklin realty to the Delaware limited partnership</x:v>
      </x:c>
      <x:c r="G311" s="303" t="str">
        <x:v>The New Albany Company, Ohio general partnership; The New Albany Company Limited Partnership</x:v>
      </x:c>
      <x:c r="H311" s="303" t="str">
        <x:v>Omnibus Franklin County realty conveyance</x:v>
      </x:c>
      <x:c r="I311" s="303" t="str">
        <x:v>primary_image_confirmed</x:v>
      </x:c>
      <x:c r="J311" s="303" t="str">
        <x:v>The deed identifies the Delaware LP as successor to the partnership assets</x:v>
      </x:c>
      <x:c r="K311" s="303" t="str">
        <x:v>The omnibus wording is not a parcel-by-parcel downstream abstract.</x:v>
      </x:c>
    </x:row>
    <x:row r="312" ht="58" customHeight="1">
      <x:c r="A312" s="303" t="str">
        <x:v>N.A. Property, Inc.</x:v>
      </x:c>
      <x:c r="B312" s="312" t="n">
        <x:v>33940.5</x:v>
      </x:c>
      <x:c r="C312" s="303" t="str">
        <x:v>foreign limited-partnership registration</x:v>
      </x:c>
      <x:c r="D312" s="315" t="str">
        <x:v>199212020237724</x:v>
      </x:c>
      <x:c r="E312" s="303" t="str">
        <x:v>Franklin County Recorder</x:v>
      </x:c>
      <x:c r="F312" s="303" t="str">
        <x:v>N.A. Property and Community Projects were named New Albany general partners</x:v>
      </x:c>
      <x:c r="G312" s="303" t="str">
        <x:v>N.A. Property, Inc.; Community Projects, Inc.; Jeffrey E. Epstein; Leslie H. Wexner</x:v>
      </x:c>
      <x:c r="H312" s="303" t="str">
        <x:v>New Albany development partnership; no single parcel</x:v>
      </x:c>
      <x:c r="I312" s="303" t="str">
        <x:v>primary_image_confirmed</x:v>
      </x:c>
      <x:c r="J312" s="303" t="str">
        <x:v>Epstein signed as N.A. Property president</x:v>
      </x:c>
      <x:c r="K312" s="303" t="str">
        <x:v>Partner status is not itself a conveyance of land.</x:v>
      </x:c>
    </x:row>
    <x:row r="313" ht="58" customHeight="1">
      <x:c r="A313" s="303" t="str">
        <x:v>N.A. Property, Inc.</x:v>
      </x:c>
      <x:c r="B313" s="312" t="n">
        <x:v>33966.5</x:v>
      </x:c>
      <x:c r="C313" s="303" t="str">
        <x:v>amended foreign limited-partnership registration</x:v>
      </x:c>
      <x:c r="D313" s="315" t="str">
        <x:v>199212280252097</x:v>
      </x:c>
      <x:c r="E313" s="303" t="str">
        <x:v>Franklin County Recorder</x:v>
      </x:c>
      <x:c r="F313" s="303" t="str">
        <x:v>Amendment changed the partnership listing after the December transition</x:v>
      </x:c>
      <x:c r="G313" s="303" t="str">
        <x:v>N.A. Property, Inc.; Community Projects, Inc.; Leslie H. Wexner; Jeffrey E. Epstein</x:v>
      </x:c>
      <x:c r="H313" s="303" t="str">
        <x:v>New Albany development partnership; no single parcel</x:v>
      </x:c>
      <x:c r="I313" s="303" t="str">
        <x:v>primary_image_confirmed</x:v>
      </x:c>
      <x:c r="J313" s="303" t="str">
        <x:v>Epstein again signed as N.A. Property president</x:v>
      </x:c>
      <x:c r="K313" s="303" t="str">
        <x:v>The filing records partnership structure, not beneficial title to every partnership asset.</x:v>
      </x:c>
    </x:row>
    <x:row r="314" ht="58" customHeight="1">
      <x:c r="A314" s="303" t="str">
        <x:v>N.A. Property, Inc.</x:v>
      </x:c>
      <x:c r="B314" s="312" t="n">
        <x:v>37327.5</x:v>
      </x:c>
      <x:c r="C314" s="303" t="str">
        <x:v>notice of commencement</x:v>
      </x:c>
      <x:c r="D314" s="315" t="str">
        <x:v>200203120064378</x:v>
      </x:c>
      <x:c r="E314" s="303" t="str">
        <x:v>Franklin County Recorder</x:v>
      </x:c>
      <x:c r="F314" s="303" t="str">
        <x:v>Notice covered School House work on a 2.549-acre Kitzmiller Road tract</x:v>
      </x:c>
      <x:c r="G314" s="303" t="str">
        <x:v>N.A. Property, Inc.; Leslie H. Wexner</x:v>
      </x:c>
      <x:c r="H314" s="303" t="str">
        <x:v>2.549 acres on Kitzmiller Road</x:v>
      </x:c>
      <x:c r="I314" s="303" t="str">
        <x:v>primary_image_confirmed</x:v>
      </x:c>
      <x:c r="J314" s="303" t="str">
        <x:v>N.A. Property and Wexner are listed as owner/part owner/lessee contracting parties</x:v>
      </x:c>
      <x:c r="K314" s="303" t="str">
        <x:v>The conditional fee-owner field is blank and “None” refers only to improvement lenders.</x:v>
      </x:c>
    </x:row>
    <x:row r="315" ht="58" customHeight="1">
      <x:c r="A315" s="303" t="str">
        <x:v>City Centre Investment Corp.</x:v>
      </x:c>
      <x:c r="B315" s="312" t="n">
        <x:v>32142.5</x:v>
      </x:c>
      <x:c r="C315" s="303" t="str">
        <x:v>limited-partnership certificate</x:v>
      </x:c>
      <x:c r="D315" s="315" t="str">
        <x:v>198712310221555</x:v>
      </x:c>
      <x:c r="E315" s="303" t="str">
        <x:v>Franklin County Recorder</x:v>
      </x:c>
      <x:c r="F315" s="303" t="str">
        <x:v>City Centre Investment was a limited partner in City Centre Limited Partnership</x:v>
      </x:c>
      <x:c r="G315" s="303" t="str">
        <x:v>City Centre Investment Corp.; City Centre Management Corp.</x:v>
      </x:c>
      <x:c r="H315" s="303" t="str">
        <x:v>Franklin County real-estate business; no parcel stated</x:v>
      </x:c>
      <x:c r="I315" s="303" t="str">
        <x:v>primary_image_confirmed</x:v>
      </x:c>
      <x:c r="J315" s="303" t="str">
        <x:v>City Centre Investment agreed a $4,950 cash contribution and up to $50,000 deficit contribution</x:v>
      </x:c>
      <x:c r="K315" s="303" t="str">
        <x:v>Partnership contributions are not a property price or mortgage.</x:v>
      </x:c>
    </x:row>
    <x:row r="316" ht="58" customHeight="1">
      <x:c r="A316" s="303" t="str">
        <x:v>City Centre Investment Corp.</x:v>
      </x:c>
      <x:c r="B316" s="312" t="n">
        <x:v>34689.5</x:v>
      </x:c>
      <x:c r="C316" s="303" t="str">
        <x:v>general warranty deed</x:v>
      </x:c>
      <x:c r="D316" s="315" t="str">
        <x:v>199412210263357</x:v>
      </x:c>
      <x:c r="E316" s="303" t="str">
        <x:v>Franklin County Recorder</x:v>
      </x:c>
      <x:c r="F316" s="303" t="str">
        <x:v>City Centre Limited Partnership conveyed its 175 East Town Street parcel</x:v>
      </x:c>
      <x:c r="G316" s="303" t="str">
        <x:v>City Centre Limited Partnership; Columbus Hospitality Associates, Limited Partnership</x:v>
      </x:c>
      <x:c r="H316" s="303" t="str">
        <x:v>Parcel 010-139305; 2.833 acres; 175 East Town Street</x:v>
      </x:c>
      <x:c r="I316" s="303" t="str">
        <x:v>primary_image_confirmed</x:v>
      </x:c>
      <x:c r="J316" s="303" t="str">
        <x:v>The deed conveyed fee title</x:v>
      </x:c>
      <x:c r="K316" s="303" t="str">
        <x:v>The $1 recital and $5,420 conveyance-tax figure are not treated as sale price.</x:v>
      </x:c>
    </x:row>
    <x:row r="317" ht="58" customHeight="1">
      <x:c r="A317" s="303" t="str">
        <x:v>City Centre Investment Corp.</x:v>
      </x:c>
      <x:c r="B317" s="312" t="n">
        <x:v>34719.5</x:v>
      </x:c>
      <x:c r="C317" s="303" t="str">
        <x:v>partnership termination</x:v>
      </x:c>
      <x:c r="D317" s="315" t="str">
        <x:v>199501200051915</x:v>
      </x:c>
      <x:c r="E317" s="303" t="str">
        <x:v>Franklin County Recorder</x:v>
      </x:c>
      <x:c r="F317" s="303" t="str">
        <x:v>Certificate says City Centre was dissolved and its assets distributed</x:v>
      </x:c>
      <x:c r="G317" s="303" t="str">
        <x:v>City Centre Limited Partnership; unnamed partners</x:v>
      </x:c>
      <x:c r="H317" s="303" t="str">
        <x:v>No parcel restated</x:v>
      </x:c>
      <x:c r="I317" s="303" t="str">
        <x:v>primary_image_confirmed</x:v>
      </x:c>
      <x:c r="J317" s="303" t="str">
        <x:v>The partnership registration was cancelled after the property disposition</x:v>
      </x:c>
      <x:c r="K317" s="303" t="str">
        <x:v>The instrument does not identify recipients of any remaining assets.</x:v>
      </x:c>
    </x:row>
    <x:row r="318" ht="58" customHeight="1">
      <x:c r="A318" s="303" t="str">
        <x:v>Morsham Land Corp.</x:v>
      </x:c>
      <x:c r="B318" s="312" t="n">
        <x:v>35062.5</x:v>
      </x:c>
      <x:c r="C318" s="303" t="str">
        <x:v>substantive merger certificate</x:v>
      </x:c>
      <x:c r="D318" s="315" t="str">
        <x:v>5422_1190</x:v>
      </x:c>
      <x:c r="E318" s="303" t="str">
        <x:v>Ohio Secretary of State</x:v>
      </x:c>
      <x:c r="F318" s="303" t="str">
        <x:v>Morsham and seven other listed corporations merged into Eastern Ohio Holding Company, Inc.</x:v>
      </x:c>
      <x:c r="G318" s="303" t="str">
        <x:v>Eastern Ohio Holding Company, Inc.; Morsham Land Corp.; seven additional merging corporations; William W. Vaughan III</x:v>
      </x:c>
      <x:c r="H318" s="303" t="str">
        <x:v>Ohio corporate transaction; no parcel stated</x:v>
      </x:c>
      <x:c r="I318" s="303" t="str">
        <x:v>primary_image_confirmed</x:v>
      </x:c>
      <x:c r="J318" s="303" t="str">
        <x:v>Eastern Ohio Holding Company, Inc. is expressly named as the surviving entity effective 1995-12-29</x:v>
      </x:c>
      <x:c r="K318" s="303" t="str">
        <x:v>This establishes statutory corporate survival; later land-title and ultimate-successor assertions remain separate steps.</x:v>
      </x:c>
    </x:row>
    <x:row r="319" ht="58" customHeight="1">
      <x:c r="A319" s="303" t="str">
        <x:v>Morsham Land Corp.</x:v>
      </x:c>
      <x:c r="B319" s="312" t="n">
        <x:v>42482.5</x:v>
      </x:c>
      <x:c r="C319" s="303" t="str">
        <x:v>successor affidavit and residual deed</x:v>
      </x:c>
      <x:c r="D319" s="315" t="str">
        <x:v>201604220049451;201604220049452</x:v>
      </x:c>
      <x:c r="E319" s="303" t="str">
        <x:v>Franklin County Recorder</x:v>
      </x:c>
      <x:c r="F319" s="303" t="str">
        <x:v>New Albany Company LLC's treasurer asserted ultimate succession to all Morsham real estate and assets</x:v>
      </x:c>
      <x:c r="G319" s="303" t="str">
        <x:v>Morsham Land Corp.; The New Albany Company LLC; Brent Bradbury; City of Columbus</x:v>
      </x:c>
      <x:c r="H319" s="303" t="str">
        <x:v>Residual parcel 545-147940</x:v>
      </x:c>
      <x:c r="I319" s="303" t="str">
        <x:v>primary_image_confirmed</x:v>
      </x:c>
      <x:c r="J319" s="303" t="str">
        <x:v>The affidavit supports New Albany Company LLC's asserted ultimate successor-in-interest status</x:v>
      </x:c>
      <x:c r="K319" s="303" t="str">
        <x:v>An affidavit/title recital is not the missing intermediate corporate merger instrument and does not identify every step.</x:v>
      </x:c>
    </x:row>
    <x:row r="320" ht="58" customHeight="1">
      <x:c r="A320" s="303" t="str">
        <x:v>HHD &amp; B LLC</x:v>
      </x:c>
      <x:c r="B320" s="312" t="n">
        <x:v>40535.5</x:v>
      </x:c>
      <x:c r="C320" s="303" t="str">
        <x:v>adjacent portfolio mortgage</x:v>
      </x:c>
      <x:c r="D320" s="315" t="str">
        <x:v>201012230175278</x:v>
      </x:c>
      <x:c r="E320" s="303" t="str">
        <x:v>Franklin County Recorder</x:v>
      </x:c>
      <x:c r="F320" s="303" t="str">
        <x:v>New Albany mortgaged a large multi-tract portfolio to JPMorgan Chase</x:v>
      </x:c>
      <x:c r="G320" s="303" t="str">
        <x:v>The New Albany Company LLC; JPMorgan Chase Bank, N.A.</x:v>
      </x:c>
      <x:c r="H320" s="303" t="str">
        <x:v>HHD appears only in a boundary call; parcel 222-001350 is absent</x:v>
      </x:c>
      <x:c r="I320" s="303" t="str">
        <x:v>primary_image_confirmed</x:v>
      </x:c>
      <x:c r="J320" s="303" t="str">
        <x:v>The $50 million mortgage is New Albany debt and does not encumber the HHD parcel in the reviewed image</x:v>
      </x:c>
      <x:c r="K320" s="303" t="str">
        <x:v>The exact-name-family absence of another HHD mortgage is not a complete parcel-lien negative.</x:v>
      </x:c>
    </x:row>
    <x:row r="321" ht="58" customHeight="1">
      <x:c r="A321" s="304" t="str">
        <x:v>Eastern Ohio Holding Company, Inc.</x:v>
      </x:c>
      <x:c r="B321" s="313" t="n">
        <x:v>35062.5</x:v>
      </x:c>
      <x:c r="C321" s="304" t="str">
        <x:v>nine-party merger certificate</x:v>
      </x:c>
      <x:c r="D321" s="316" t="str">
        <x:v>5422_1190</x:v>
      </x:c>
      <x:c r="E321" s="304" t="str">
        <x:v>Ohio Secretary of State</x:v>
      </x:c>
      <x:c r="F321" s="304" t="str">
        <x:v>Eastern Ohio survived the merger of eight named Ohio corporations</x:v>
      </x:c>
      <x:c r="G321" s="304" t="str">
        <x:v>Eastern Ohio Holding Company; Bluffton Holding; New Albany Cardinal; Union Holding; Blueberry Ridge Properties; Tudor Properties; Cedar Canyon Properties; Morsham Land; Blacksheep Farms; William W. Vaughan III</x:v>
      </x:c>
      <x:c r="H321" s="304" t="str">
        <x:v>Ohio corporate transaction; survivor agent at 5906 E Dublin-Granville Rd.</x:v>
      </x:c>
      <x:c r="I321" s="304" t="str">
        <x:v>primary_image_confirmed</x:v>
      </x:c>
      <x:c r="J321" s="304" t="str">
        <x:v>Eastern Ohio is expressly labeled the surviving entity and the merger was effective on filing 1995-12-29</x:v>
      </x:c>
      <x:c r="K321" s="304" t="str">
        <x:v>The name-change field is blank. Processing correspondence to New Albany Company does not make it a constituent or survivor.</x:v>
      </x:c>
    </x:row>
  </x:sheetData>
  <x:mergeCells>
    <x:mergeCell ref="A1:K1"/>
    <x:mergeCell ref="A2:K2"/>
  </x:mergeCells>
  <x:conditionalFormatting sqref="I5:I321">
    <x:cfRule type="containsText" dxfId="6" priority="1" operator="containsText" text="primary_image_confirmed"/>
    <x:cfRule type="containsText" dxfId="7" priority="2" operator="containsText" text="official_index_only"/>
  </x:conditionalFormatting>
  <x:pageMargins left="0.7" right="0.7" top="0.75" bottom="0.75" header="0.3" footer="0.3"/>
  <x:tableParts count="1">
    <x:tablePart xmlns:r="http://schemas.openxmlformats.org/officeDocument/2006/relationships" r:id="R601bc2eefefe4b0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8" hidden="0" customWidth="1"/>
    <x:col min="4" max="4" width="20" hidden="0" customWidth="1"/>
    <x:col min="5" max="5" width="44" hidden="0" customWidth="1"/>
    <x:col min="6" max="6" width="20" hidden="0" customWidth="1"/>
    <x:col min="7" max="7" width="14" hidden="0" customWidth="1"/>
    <x:col min="8" max="8" width="14" hidden="0" customWidth="1"/>
    <x:col min="9" max="9" width="14" hidden="0" customWidth="1"/>
    <x:col min="10" max="10" width="14" hidden="0" customWidth="1"/>
    <x:col min="11" max="11" width="14" hidden="0" customWidth="1"/>
    <x:col min="12" max="12" width="20" hidden="0" customWidth="1"/>
    <x:col min="13" max="13" width="20" hidden="0" customWidth="1"/>
    <x:col min="14" max="14" width="20" hidden="0" customWidth="1"/>
    <x:col min="15" max="15" width="20" hidden="0" customWidth="1"/>
    <x:col min="16" max="16" width="20" hidden="0" customWidth="1"/>
    <x:col min="17" max="17" width="28" hidden="0" customWidth="1"/>
    <x:col min="18" max="18" width="34" hidden="0" customWidth="1"/>
    <x:col min="19" max="19" width="34" hidden="0" customWidth="1"/>
    <x:col min="20" max="20" width="44" hidden="0" customWidth="1"/>
  </x:cols>
  <x:sheetData>
    <x:row r="1" ht="30" customHeight="1">
      <x:c r="A1" s="3" t="str">
        <x:v>Normalized Ohio merger transactions</x:v>
      </x:c>
      <x:c r="B1" s="3"/>
      <x:c r="C1" s="3"/>
      <x:c r="D1" s="3"/>
      <x:c r="E1" s="3"/>
      <x:c r="F1" s="3"/>
      <x:c r="G1" s="3"/>
      <x:c r="H1" s="3"/>
      <x:c r="I1" s="3"/>
      <x:c r="J1" s="3"/>
      <x:c r="K1" s="3"/>
      <x:c r="L1" s="3"/>
      <x:c r="M1" s="3"/>
      <x:c r="N1" s="3"/>
      <x:c r="O1" s="3"/>
      <x:c r="P1" s="3"/>
      <x:c r="Q1" s="3"/>
      <x:c r="R1" s="3"/>
      <x:c r="S1" s="3"/>
      <x:c r="T1" s="3"/>
    </x:row>
    <x:row r="2" ht="36" customHeight="1">
      <x:c r="A2" s="12" t="str">
        <x:v>One row per legal transaction. The 1995 Eastern Ohio row replaces eight isolated MEX stubs because the substantive packet proves one nine-party merger.</x:v>
      </x:c>
      <x:c r="B2" s="13"/>
      <x:c r="C2" s="13"/>
      <x:c r="D2" s="13"/>
      <x:c r="E2" s="13"/>
      <x:c r="F2" s="13"/>
      <x:c r="G2" s="13"/>
      <x:c r="H2" s="13"/>
      <x:c r="I2" s="13"/>
      <x:c r="J2" s="13"/>
      <x:c r="K2" s="13"/>
      <x:c r="L2" s="13"/>
      <x:c r="M2" s="13"/>
      <x:c r="N2" s="13"/>
      <x:c r="O2" s="13"/>
      <x:c r="P2" s="13"/>
      <x:c r="Q2" s="13"/>
      <x:c r="R2" s="13"/>
      <x:c r="S2" s="13"/>
      <x:c r="T2" s="14"/>
    </x:row>
    <x:row r="4" ht="32" customHeight="1">
      <x:c r="A4" s="292" t="str">
        <x:v>transaction_key</x:v>
      </x:c>
      <x:c r="B4" s="293" t="str">
        <x:v>transaction_kind</x:v>
      </x:c>
      <x:c r="C4" s="293" t="str">
        <x:v>survivor_entity_key</x:v>
      </x:c>
      <x:c r="D4" s="293" t="str">
        <x:v>survivor_ohio_entity_number</x:v>
      </x:c>
      <x:c r="E4" s="293" t="str">
        <x:v>survivor_legal_name</x:v>
      </x:c>
      <x:c r="F4" s="293" t="str">
        <x:v>primary_merger_document_ids</x:v>
      </x:c>
      <x:c r="G4" s="293" t="str">
        <x:v>approval_date</x:v>
      </x:c>
      <x:c r="H4" s="293" t="str">
        <x:v>execution_date</x:v>
      </x:c>
      <x:c r="I4" s="293" t="str">
        <x:v>effective_date</x:v>
      </x:c>
      <x:c r="J4" s="293" t="str">
        <x:v>sos_recording_date</x:v>
      </x:c>
      <x:c r="K4" s="293" t="str">
        <x:v>receipt_date</x:v>
      </x:c>
      <x:c r="L4" s="293" t="str">
        <x:v>receipt_numbers</x:v>
      </x:c>
      <x:c r="M4" s="293" t="str">
        <x:v>microfilm_roll</x:v>
      </x:c>
      <x:c r="N4" s="293" t="str">
        <x:v>primary_frame_start</x:v>
      </x:c>
      <x:c r="O4" s="293" t="str">
        <x:v>primary_frame_end</x:v>
      </x:c>
      <x:c r="P4" s="293" t="str">
        <x:v>counsel_or_return_to</x:v>
      </x:c>
      <x:c r="Q4" s="293" t="str">
        <x:v>verification_state</x:v>
      </x:c>
      <x:c r="R4" s="293" t="str">
        <x:v>source_quote</x:v>
      </x:c>
      <x:c r="S4" s="293" t="str">
        <x:v>evidence_refs</x:v>
      </x:c>
      <x:c r="T4" s="294" t="str">
        <x:v>notes</x:v>
      </x:c>
    </x:row>
    <x:row r="5" ht="72" customHeight="1">
      <x:c r="A5" s="302" t="str">
        <x:v>OH-MERGER-1989-12-22-713548</x:v>
      </x:c>
      <x:c r="B5" s="302" t="str">
        <x:v>merger</x:v>
      </x:c>
      <x:c r="C5" s="302" t="str">
        <x:v>OH:713548</x:v>
      </x:c>
      <x:c r="D5" s="302" t="str">
        <x:v>713548</x:v>
      </x:c>
      <x:c r="E5" s="302" t="str">
        <x:v>ARCHITONICS, INC.</x:v>
      </x:c>
      <x:c r="F5" s="302" t="str">
        <x:v>G774_0107</x:v>
      </x:c>
      <x:c r="G5" s="311" t="n">
        <x:v>32863.5</x:v>
      </x:c>
      <x:c r="H5" s="311" t="n">
        <x:v>32864.5</x:v>
      </x:c>
      <x:c r="I5" s="311" t="n">
        <x:v>32864.5</x:v>
      </x:c>
      <x:c r="J5" s="311" t="n">
        <x:v>32864.5</x:v>
      </x:c>
      <x:c r="K5" s="311" t="n">
        <x:v>32883.5</x:v>
      </x:c>
      <x:c r="L5" s="302" t="str">
        <x:v>48725</x:v>
      </x:c>
      <x:c r="M5" s="302" t="str">
        <x:v>G774</x:v>
      </x:c>
      <x:c r="N5" s="302" t="str">
        <x:v>0107</x:v>
      </x:c>
      <x:c r="O5" s="302" t="str">
        <x:v>0115</x:v>
      </x:c>
      <x:c r="P5" s="302" t="str">
        <x:v>Schwartz, Kelm, Warren &amp; Rubenstein; Attn. Lynne J. Evans; 41 S. High St., Columbus, OH 43215</x:v>
      </x:c>
      <x:c r="Q5" s="302" t="str">
        <x:v>primary_image_confirmed</x:v>
      </x:c>
      <x:c r="R5" s="302" t="str">
        <x:v>The Merged Corporations shall be and hereby are merged into Architonics, Inc., which is hereafter referred to as the Surviving Corporation.</x:v>
      </x:c>
      <x:c r="S5" s="302" t="str">
        <x:v>OH-SOS:713548:G774_0107;OH-SOS:710873:G774_0116;OH-SOS:713843:G774_0119;OH-SOS:713838:G774_0125;OH-SOS:720366:G774_0128;OH-SOS:713922:G774_0137;OH-SOS:713923:G774_0143;OH-SOS:712264:G774_0146;OH-SOS:719943:G774_0152;OH-SOS:720361:G774_0164;OH-SOS:713925:G774_0167;OH-SOS:714675:G774_0170;OH-SOS:720489:G774_0179;FINDING:14558;FINDING:14594;FINDING:14604</x:v>
      </x:c>
      <x:c r="T5" s="302" t="str">
        <x:v>One survivor and 23 predecessors. The substantive agreement supplies the survivor edge and states that all assets and property vested in Architonics on the effective date. The twelve listed party-specific stubs were visually confirmed but independently state only MEX status; receipt dates are index-processing dates and must not replace the legal effective date.</x:v>
      </x:c>
    </x:row>
    <x:row r="6" ht="72" customHeight="1">
      <x:c r="A6" s="303" t="str">
        <x:v>OH-MERGER-1990-08-31-719719</x:v>
      </x:c>
      <x:c r="B6" s="303" t="str">
        <x:v>merger</x:v>
      </x:c>
      <x:c r="C6" s="303" t="str">
        <x:v>OH:719719</x:v>
      </x:c>
      <x:c r="D6" s="303" t="str">
        <x:v>719719</x:v>
      </x:c>
      <x:c r="E6" s="303" t="str">
        <x:v>CHERRY BOTTOM PROPERTIES, INC.</x:v>
      </x:c>
      <x:c r="F6" s="303" t="str">
        <x:v>G946_1531;G946_1533</x:v>
      </x:c>
      <x:c r="G6" s="312" t="n">
        <x:v>33115.5</x:v>
      </x:c>
      <x:c r="H6" s="312" t="n">
        <x:v>33115.5</x:v>
      </x:c>
      <x:c r="I6" s="312" t="n">
        <x:v>33116.5</x:v>
      </x:c>
      <x:c r="J6" s="312" t="n">
        <x:v>33116.5</x:v>
      </x:c>
      <x:c r="K6" s="312" t="n">
        <x:v>33130.5</x:v>
      </x:c>
      <x:c r="L6" s="303" t="str">
        <x:v>24483;24484</x:v>
      </x:c>
      <x:c r="M6" s="303" t="str">
        <x:v>G946</x:v>
      </x:c>
      <x:c r="N6" s="303" t="str">
        <x:v>1531</x:v>
      </x:c>
      <x:c r="O6" s="303" t="str">
        <x:v>1541</x:v>
      </x:c>
      <x:c r="P6" s="303" t="str">
        <x:v>Schwartz, Kelm, Warren &amp; Rubenstein; Attn. T. Hipsher; 41 S. High St., Suite 2300, Columbus, OH 43215</x:v>
      </x:c>
      <x:c r="Q6" s="303" t="str">
        <x:v>primary_image_confirmed</x:v>
      </x:c>
      <x:c r="R6" s="303" t="str">
        <x:v>CBI shall be merged with and into CBP, which shall be the surviving corporation.</x:v>
      </x:c>
      <x:c r="S6" s="303" t="str">
        <x:v>OH-SOS:719719:G946_1531;OH-SOS:719718:G946_1533;OH-SOS:719718:G946_1539;FINDING:14556;FINDING:14597</x:v>
      </x:c>
      <x:c r="T6" s="303" t="str">
        <x:v>G946_1531 and G946_1533 are parallel merger packets; G946_1539 is the Investors MEX stub. Portal labels alone do not determine party role. Full predecessor articles review identifies Hipsher as incorporator and Snow as original agent but no initial shareholder or parcel. Full predecessor articles review identifies Hipsher as incorporator and Snow as original agent but no initial shareholder or parcel. Full predecessor articles review identifies Hipsher as incorporator and Snow as original agent but no initial shareholder or parcel. Full predecessor articles review identifies Hipsher as incorporator and Snow as original agent but no initial shareholder or parcel. Full predecessor articles review identifies Hipsher as incorporator and Snow as original agent but no initial shareholder or parcel. Full predecessor articles review identifies Hipsher as incorporator and Snow as original agent but no initial shareholder or parcel.</x:v>
      </x:c>
    </x:row>
    <x:row r="7" ht="72" customHeight="1">
      <x:c r="A7" s="303" t="str">
        <x:v>OH-MERGER-1995-12-29-855092</x:v>
      </x:c>
      <x:c r="B7" s="303" t="str">
        <x:v>merger</x:v>
      </x:c>
      <x:c r="C7" s="303" t="str">
        <x:v>OH:855092</x:v>
      </x:c>
      <x:c r="D7" s="303" t="str">
        <x:v>855092</x:v>
      </x:c>
      <x:c r="E7" s="303" t="str">
        <x:v>EASTERN OHIO HOLDING COMPANY, INC.</x:v>
      </x:c>
      <x:c r="F7" s="303" t="str">
        <x:v>5422_1190</x:v>
      </x:c>
      <x:c r="G7" s="312" t="n">
        <x:v>35062.5</x:v>
      </x:c>
      <x:c r="H7" s="312" t="n">
        <x:v>35061.5</x:v>
      </x:c>
      <x:c r="I7" s="312" t="n">
        <x:v>35062.5</x:v>
      </x:c>
      <x:c r="J7" s="312" t="n">
        <x:v>35062.5</x:v>
      </x:c>
      <x:c r="K7" s="312" t="n">
        <x:v>35109.5</x:v>
      </x:c>
      <x:c r="L7" s="303" t="str">
        <x:v>083608</x:v>
      </x:c>
      <x:c r="M7" s="303" t="str">
        <x:v>5422</x:v>
      </x:c>
      <x:c r="N7" s="303" t="str">
        <x:v>1190</x:v>
      </x:c>
      <x:c r="O7" s="303" t="str">
        <x:v>1197</x:v>
      </x:c>
      <x:c r="P7" s="303" t="str">
        <x:v>Merger-agreement-copy contact and surviving statutory agent: William W. Vaughan III, 5906 E. Dublin-Granville Road, New Albany, OH 43054; processing return to New Albany Company at the same address</x:v>
      </x:c>
      <x:c r="Q7" s="303" t="str">
        <x:v>primary_image_confirmed</x:v>
      </x:c>
      <x:c r="R7" s="303" t="str">
        <x:v>The name of the entity surviving the merger is: Eastern Ohio Holding Company, Inc. ... Upon filing ... the merging entity/entities listed herein shall merge into the listed surviving entity.</x:v>
      </x:c>
      <x:c r="S7" s="303" t="str">
        <x:v>OH-SOS:855092:5422_1190:p1-p8;FINDING:14646</x:v>
      </x:c>
      <x:c r="T7" s="303" t="str">
        <x:v>One survivor and eight predecessors. The certificate is effective on filing, and the state certificate fixes filing at 1995-12-29. The name-change field is blank. The 1996-02-14 processing statement is administrative and does not replace the legal effective date. A January correction cycle preserved the initial filing date.</x:v>
      </x:c>
    </x:row>
    <x:row r="8" ht="72" customHeight="1">
      <x:c r="A8" s="303" t="str">
        <x:v>OH-MERGER-1990-12-28-706250</x:v>
      </x:c>
      <x:c r="B8" s="303" t="str">
        <x:v>merger</x:v>
      </x:c>
      <x:c r="C8" s="303" t="str">
        <x:v>OH:706250</x:v>
      </x:c>
      <x:c r="D8" s="303" t="str">
        <x:v>706250</x:v>
      </x:c>
      <x:c r="E8" s="303" t="str">
        <x:v>AUTUMN ACRES, INC.</x:v>
      </x:c>
      <x:c r="F8" s="303" t="str">
        <x:v>H052_1482</x:v>
      </x:c>
      <x:c r="G8" s="312" t="n">
        <x:v>33235.5</x:v>
      </x:c>
      <x:c r="H8" s="312" t="n">
        <x:v>33235.5</x:v>
      </x:c>
      <x:c r="I8" s="312" t="n">
        <x:v>33235.5</x:v>
      </x:c>
      <x:c r="J8" s="312" t="n">
        <x:v>33235.5</x:v>
      </x:c>
      <x:c r="K8" s="312" t="n">
        <x:v>33281.5</x:v>
      </x:c>
      <x:c r="L8" s="303" t="str">
        <x:v>58797</x:v>
      </x:c>
      <x:c r="M8" s="303" t="str">
        <x:v>H052</x:v>
      </x:c>
      <x:c r="N8" s="303" t="str">
        <x:v>1482</x:v>
      </x:c>
      <x:c r="O8" s="303" t="str">
        <x:v>1488</x:v>
      </x:c>
      <x:c r="P8" s="303" t="str">
        <x:v>Schwartz, Kelm, Warren &amp; Rubenstein; Attn. Pat Hipsher; 41 S. High St., Columbus, OH 43215</x:v>
      </x:c>
      <x:c r="Q8" s="303" t="str">
        <x:v>primary_image_confirmed</x:v>
      </x:c>
      <x:c r="R8" s="303" t="str">
        <x:v>the Merged Corporations shall be and hereby are merged into Autumn Acres, Inc., which is hereinafter referred to as the Surviving Corporation</x:v>
      </x:c>
      <x:c r="S8" s="303" t="str">
        <x:v>OH-SOS:706250:H052_1482;FINDING:14575</x:v>
      </x:c>
      <x:c r="T8" s="303" t="str">
        <x:v>One survivor and seven predecessors. The agreement transfers all constituent assets, property, real-estate interests, and liabilities to Autumn by operation of law but identifies no parcel. The 1991 receipt is administrative; the legal effective date is 1990-12-28.</x:v>
      </x:c>
    </x:row>
    <x:row r="9" ht="72" customHeight="1">
      <x:c r="A9" s="303" t="str">
        <x:v>OH-MERGER-1987-12-31-706978</x:v>
      </x:c>
      <x:c r="B9" s="303" t="str">
        <x:v>merger</x:v>
      </x:c>
      <x:c r="C9" s="303" t="str">
        <x:v>OH:706978</x:v>
      </x:c>
      <x:c r="D9" s="303" t="str">
        <x:v>706978</x:v>
      </x:c>
      <x:c r="E9" s="303" t="str">
        <x:v>ROCKY FORK DEVELOPMENT CORPORATION</x:v>
      </x:c>
      <x:c r="F9" s="303" t="str">
        <x:v>G313_0688</x:v>
      </x:c>
      <x:c r="G9" s="312" t="n">
        <x:v>32142.5</x:v>
      </x:c>
      <x:c r="H9" s="312" t="n">
        <x:v>32142.5</x:v>
      </x:c>
      <x:c r="I9" s="312" t="n">
        <x:v>32142.5</x:v>
      </x:c>
      <x:c r="J9" s="312" t="n">
        <x:v>32142.5</x:v>
      </x:c>
      <x:c r="K9" s="312" t="n">
        <x:v>32164.5</x:v>
      </x:c>
      <x:c r="L9" s="303"/>
      <x:c r="M9" s="303" t="str">
        <x:v>G313</x:v>
      </x:c>
      <x:c r="N9" s="303" t="str">
        <x:v>0688</x:v>
      </x:c>
      <x:c r="O9" s="303" t="str">
        <x:v>0694</x:v>
      </x:c>
      <x:c r="P9" s="303" t="str">
        <x:v>Schwartz, Kelm, Warren &amp; Rubenstein; Attn. J. McCoy; 41 S. High St., Columbus, OH 43215</x:v>
      </x:c>
      <x:c r="Q9" s="303" t="str">
        <x:v>primary_image_confirmed</x:v>
      </x:c>
      <x:c r="R9" s="303" t="str">
        <x:v>Bearce Hollow, Inc., hereinafter called the Merging Corporation, and Rocky Fork Development Corporation, hereinafter called the Surviving Corporation</x:v>
      </x:c>
      <x:c r="S9" s="303" t="str">
        <x:v>OH-SOS:706978:G313_0688;FINDING:14578</x:v>
      </x:c>
      <x:c r="T9" s="303" t="str">
        <x:v>The agreement transfers any Bearce assets, property, real-estate interests, and liabilities to Rocky Fork without further act or deed but identifies no parcel. The shareholder described as mutual/sole is unnamed.</x:v>
      </x:c>
    </x:row>
    <x:row r="10" ht="72" customHeight="1">
      <x:c r="A10" s="303" t="str">
        <x:v>OH-MERGER-1989-12-22-689908</x:v>
      </x:c>
      <x:c r="B10" s="303" t="str">
        <x:v>merger</x:v>
      </x:c>
      <x:c r="C10" s="303" t="str">
        <x:v>OH:689908</x:v>
      </x:c>
      <x:c r="D10" s="303" t="str">
        <x:v>689908</x:v>
      </x:c>
      <x:c r="E10" s="303" t="str">
        <x:v>EASTSIDE INDUSTRIAL, INC.</x:v>
      </x:c>
      <x:c r="F10" s="303" t="str">
        <x:v>G769_0688</x:v>
      </x:c>
      <x:c r="G10" s="312" t="n">
        <x:v>32863.5</x:v>
      </x:c>
      <x:c r="H10" s="312" t="n">
        <x:v>32864.5</x:v>
      </x:c>
      <x:c r="I10" s="312" t="n">
        <x:v>32864.5</x:v>
      </x:c>
      <x:c r="J10" s="312" t="n">
        <x:v>32864.5</x:v>
      </x:c>
      <x:c r="K10" s="312" t="n">
        <x:v>32877.5</x:v>
      </x:c>
      <x:c r="L10" s="303" t="str">
        <x:v>47008</x:v>
      </x:c>
      <x:c r="M10" s="303" t="str">
        <x:v>G769</x:v>
      </x:c>
      <x:c r="N10" s="303" t="str">
        <x:v>0688</x:v>
      </x:c>
      <x:c r="O10" s="303" t="str">
        <x:v>0694</x:v>
      </x:c>
      <x:c r="P10" s="303" t="str">
        <x:v>Schwartz, Kelm, Warren &amp; Rubenstein; Attn. Lynne J. Evans; 41 S. High St., Columbus, OH 43215</x:v>
      </x:c>
      <x:c r="Q10" s="303" t="str">
        <x:v>primary_image_confirmed</x:v>
      </x:c>
      <x:c r="R10" s="303" t="str">
        <x:v>Great Eastern Fastening Corp. ... is merged into Eastside Industrial, Inc., which is hereafter referred to as the Surviving Corporation.</x:v>
      </x:c>
      <x:c r="S10" s="303" t="str">
        <x:v>OH-SOS:689908:G769_0688;OH-SOS:689907:G769_0695;FINDING:14579</x:v>
      </x:c>
      <x:c r="T10" s="303" t="str">
        <x:v>Eastside survived the two-company merger, succeeded to any Great Eastern property by operation of law, and dissolved one week later. No parcel or named shareholder appears.</x:v>
      </x:c>
    </x:row>
    <x:row r="11" ht="72" customHeight="1">
      <x:c r="A11" s="303" t="str">
        <x:v>OH-MEX-1987-12-31-689664</x:v>
      </x:c>
      <x:c r="B11" s="303" t="str">
        <x:v>merged_out_status_only</x:v>
      </x:c>
      <x:c r="C11" s="303"/>
      <x:c r="D11" s="303"/>
      <x:c r="E11" s="303"/>
      <x:c r="F11" s="303" t="str">
        <x:v>G313_0675</x:v>
      </x:c>
      <x:c r="G11" s="312"/>
      <x:c r="H11" s="312"/>
      <x:c r="I11" s="312" t="n">
        <x:v>32142.5</x:v>
      </x:c>
      <x:c r="J11" s="312" t="n">
        <x:v>32142.5</x:v>
      </x:c>
      <x:c r="K11" s="312" t="n">
        <x:v>32164.5</x:v>
      </x:c>
      <x:c r="L11" s="303" t="str">
        <x:v>49820</x:v>
      </x:c>
      <x:c r="M11" s="303" t="str">
        <x:v>G313</x:v>
      </x:c>
      <x:c r="N11" s="303" t="str">
        <x:v>0675</x:v>
      </x:c>
      <x:c r="O11" s="303" t="str">
        <x:v>0677</x:v>
      </x:c>
      <x:c r="P11" s="303" t="str">
        <x:v>Schwartz, Kelm, Warren &amp; Rubenstein; Attn. J. McCoy; 41 S. High St., Columbus, OH 43215</x:v>
      </x:c>
      <x:c r="Q11" s="303" t="str">
        <x:v>primary_mex_status_survivor_unresolved</x:v>
      </x:c>
      <x:c r="R11" s="303" t="str">
        <x:v>records show the filing and recording of: MEX ... of: BREWER FARMS, INC.</x:v>
      </x:c>
      <x:c r="S11" s="303" t="str">
        <x:v>OH-SOS:689664:G313_0675;FINDING:14581</x:v>
      </x:c>
      <x:c r="T11" s="303" t="str">
        <x:v>This is a certified three-page MEX/status packet, not the merger agreement. It confirms Brewer's terminal status but names no survivor or other constituent. Shared date, counsel, return contact, and film proximity are batch clues only.</x:v>
      </x:c>
    </x:row>
    <x:row r="12" ht="72" customHeight="1">
      <x:c r="A12" s="304" t="str">
        <x:v>OH-MEX-1987-12-31-689666</x:v>
      </x:c>
      <x:c r="B12" s="304" t="str">
        <x:v>merged_out_status_only</x:v>
      </x:c>
      <x:c r="C12" s="304"/>
      <x:c r="D12" s="304"/>
      <x:c r="E12" s="304"/>
      <x:c r="F12" s="304" t="str">
        <x:v>G313_0685</x:v>
      </x:c>
      <x:c r="G12" s="313"/>
      <x:c r="H12" s="313"/>
      <x:c r="I12" s="313" t="n">
        <x:v>32142.5</x:v>
      </x:c>
      <x:c r="J12" s="313" t="n">
        <x:v>32142.5</x:v>
      </x:c>
      <x:c r="K12" s="313" t="n">
        <x:v>32164.5</x:v>
      </x:c>
      <x:c r="L12" s="304" t="str">
        <x:v>49822</x:v>
      </x:c>
      <x:c r="M12" s="304" t="str">
        <x:v>G313</x:v>
      </x:c>
      <x:c r="N12" s="304" t="str">
        <x:v>0685</x:v>
      </x:c>
      <x:c r="O12" s="304" t="str">
        <x:v>0687</x:v>
      </x:c>
      <x:c r="P12" s="304" t="str">
        <x:v>Schwartz, Kelm, Warren &amp; Rubenstein; Attn. J. McCoy; 41 S. High St., Columbus, OH 43215</x:v>
      </x:c>
      <x:c r="Q12" s="304" t="str">
        <x:v>primary_mex_status_survivor_unresolved</x:v>
      </x:c>
      <x:c r="R12" s="304" t="str">
        <x:v>records show the filing and recording of: MEX ... of: CENTRAL FALLS, INC.</x:v>
      </x:c>
      <x:c r="S12" s="304" t="str">
        <x:v>OH-SOS:689666:G313_0685;FINDING:14582</x:v>
      </x:c>
      <x:c r="T12" s="304" t="str">
        <x:v>This is a certified three-page MEX/status packet, not the merger agreement. It confirms Central Falls's terminal status but names no survivor or other constituent. Shared date, counsel, return contact, and film proximity are batch clues only.</x:v>
      </x:c>
    </x:row>
  </x:sheetData>
  <x:mergeCells>
    <x:mergeCell ref="A1:T1"/>
    <x:mergeCell ref="A2:T2"/>
  </x:mergeCells>
  <x:conditionalFormatting sqref="Q5:Q12">
    <x:cfRule type="containsText" dxfId="8" priority="1" operator="containsText" text="primary_image_confirmed"/>
  </x:conditionalFormatting>
  <x:pageMargins left="0.7" right="0.7" top="0.75" bottom="0.75" header="0.3" footer="0.3"/>
  <x:tableParts count="1">
    <x:tablePart xmlns:r="http://schemas.openxmlformats.org/officeDocument/2006/relationships" r:id="R4320cd366eec43e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13" hidden="0" customWidth="1"/>
    <x:col min="3" max="3" width="28" hidden="0" customWidth="1"/>
    <x:col min="4" max="4" width="20" hidden="0" customWidth="1"/>
    <x:col min="5" max="5" width="44" hidden="0" customWidth="1"/>
    <x:col min="6" max="6" width="28" hidden="0" customWidth="1"/>
    <x:col min="7" max="7" width="28" hidden="0" customWidth="1"/>
    <x:col min="8" max="8" width="28" hidden="0" customWidth="1"/>
    <x:col min="9" max="9" width="28" hidden="0" customWidth="1"/>
    <x:col min="10" max="10" width="14" hidden="0" customWidth="1"/>
    <x:col min="11" max="11" width="44" hidden="0" customWidth="1"/>
    <x:col min="12" max="12" width="20" hidden="0" customWidth="1"/>
    <x:col min="13" max="13" width="34" hidden="0" customWidth="1"/>
    <x:col min="14" max="14" width="28" hidden="0" customWidth="1"/>
    <x:col min="15" max="15" width="44" hidden="0" customWidth="1"/>
  </x:cols>
  <x:sheetData>
    <x:row r="1" ht="30" customHeight="1">
      <x:c r="A1" s="3" t="str">
        <x:v>Merger constituent and successor edges</x:v>
      </x:c>
      <x:c r="B1" s="3"/>
      <x:c r="C1" s="3"/>
      <x:c r="D1" s="3"/>
      <x:c r="E1" s="3"/>
      <x:c r="F1" s="3"/>
      <x:c r="G1" s="3"/>
      <x:c r="H1" s="3"/>
      <x:c r="I1" s="3"/>
      <x:c r="J1" s="3"/>
      <x:c r="K1" s="3"/>
      <x:c r="L1" s="3"/>
      <x:c r="M1" s="3"/>
      <x:c r="N1" s="3"/>
      <x:c r="O1" s="3"/>
    </x:row>
    <x:row r="2" ht="36" customHeight="1">
      <x:c r="A2" s="12" t="str">
        <x:v>One row per constituent. Property-search rules follow predecessors through the effective date and the confirmed survivor afterward.</x:v>
      </x:c>
      <x:c r="B2" s="13"/>
      <x:c r="C2" s="13"/>
      <x:c r="D2" s="13"/>
      <x:c r="E2" s="13"/>
      <x:c r="F2" s="13"/>
      <x:c r="G2" s="13"/>
      <x:c r="H2" s="13"/>
      <x:c r="I2" s="13"/>
      <x:c r="J2" s="13"/>
      <x:c r="K2" s="13"/>
      <x:c r="L2" s="13"/>
      <x:c r="M2" s="13"/>
      <x:c r="N2" s="13"/>
      <x:c r="O2" s="14"/>
    </x:row>
    <x:row r="4" ht="32" customHeight="1">
      <x:c r="A4" s="292" t="str">
        <x:v>transaction_key</x:v>
      </x:c>
      <x:c r="B4" s="293" t="str">
        <x:v>party_order</x:v>
      </x:c>
      <x:c r="C4" s="293" t="str">
        <x:v>entity_key</x:v>
      </x:c>
      <x:c r="D4" s="293" t="str">
        <x:v>ohio_entity_number</x:v>
      </x:c>
      <x:c r="E4" s="293" t="str">
        <x:v>legal_name</x:v>
      </x:c>
      <x:c r="F4" s="293" t="str">
        <x:v>party_role</x:v>
      </x:c>
      <x:c r="G4" s="293" t="str">
        <x:v>survivor_entity_key</x:v>
      </x:c>
      <x:c r="H4" s="293" t="str">
        <x:v>party_specific_document_id</x:v>
      </x:c>
      <x:c r="I4" s="293" t="str">
        <x:v>party_document_id_state</x:v>
      </x:c>
      <x:c r="J4" s="293" t="str">
        <x:v>effective_date</x:v>
      </x:c>
      <x:c r="K4" s="293" t="str">
        <x:v>property_search_rule</x:v>
      </x:c>
      <x:c r="L4" s="293" t="str">
        <x:v>primary_evidence_page</x:v>
      </x:c>
      <x:c r="M4" s="293" t="str">
        <x:v>primary_evidence_ref</x:v>
      </x:c>
      <x:c r="N4" s="293" t="str">
        <x:v>edge_verification_state</x:v>
      </x:c>
      <x:c r="O4" s="294" t="str">
        <x:v>notes</x:v>
      </x:c>
    </x:row>
    <x:row r="5" ht="66" customHeight="1">
      <x:c r="A5" s="302" t="str">
        <x:v>OH-MERGER-1989-12-22-713548</x:v>
      </x:c>
      <x:c r="B5" s="308" t="n">
        <x:v>0</x:v>
      </x:c>
      <x:c r="C5" s="302" t="str">
        <x:v>OH:713548</x:v>
      </x:c>
      <x:c r="D5" s="302" t="str">
        <x:v>713548</x:v>
      </x:c>
      <x:c r="E5" s="302" t="str">
        <x:v>ARCHITONICS, INC.</x:v>
      </x:c>
      <x:c r="F5" s="302" t="str">
        <x:v>survivor</x:v>
      </x:c>
      <x:c r="G5" s="302" t="str">
        <x:v>OH:713548</x:v>
      </x:c>
      <x:c r="H5" s="314" t="str">
        <x:v>G774_0107</x:v>
      </x:c>
      <x:c r="I5" s="302" t="str">
        <x:v>primary_image_confirmed</x:v>
      </x:c>
      <x:c r="J5" s="311" t="n">
        <x:v>32864.5</x:v>
      </x:c>
      <x:c r="K5" s="302" t="str">
        <x:v>Search this name from 1989-12-22 forward and continue through its later terminal history.</x:v>
      </x:c>
      <x:c r="L5" s="302" t="str">
        <x:v>3-8</x:v>
      </x:c>
      <x:c r="M5" s="302" t="str">
        <x:v>OH-SOS:713548:G774_0107</x:v>
      </x:c>
      <x:c r="N5" s="302" t="str">
        <x:v>primary_agreement_confirmed</x:v>
      </x:c>
      <x:c r="O5" s="302" t="str">
        <x:v>The agreement preserves the Architonics name and its pre-merger officers, directors, articles, regulations, and agent.</x:v>
      </x:c>
    </x:row>
    <x:row r="6" ht="66" customHeight="1">
      <x:c r="A6" s="303" t="str">
        <x:v>OH-MERGER-1989-12-22-713548</x:v>
      </x:c>
      <x:c r="B6" s="309" t="n">
        <x:v>1</x:v>
      </x:c>
      <x:c r="C6" s="303" t="str">
        <x:v>OH:710873</x:v>
      </x:c>
      <x:c r="D6" s="303" t="str">
        <x:v>710873</x:v>
      </x:c>
      <x:c r="E6" s="303" t="str">
        <x:v>BLACKLICK PROPERTIES, INC.</x:v>
      </x:c>
      <x:c r="F6" s="303" t="str">
        <x:v>predecessor</x:v>
      </x:c>
      <x:c r="G6" s="303" t="str">
        <x:v>OH:713548</x:v>
      </x:c>
      <x:c r="H6" s="315" t="str">
        <x:v>G774_0116</x:v>
      </x:c>
      <x:c r="I6" s="303" t="str">
        <x:v>primary_image_confirmed</x:v>
      </x:c>
      <x:c r="J6" s="312" t="n">
        <x:v>32864.5</x:v>
      </x:c>
      <x:c r="K6" s="303" t="str">
        <x:v>Search Blacklick through 1989-12-22; search Architonics from that date forward; also search both names for confirmatory deeds and explicit successor-by-merger language.</x:v>
      </x:c>
      <x:c r="L6" s="303" t="str">
        <x:v>3-8</x:v>
      </x:c>
      <x:c r="M6" s="303" t="str">
        <x:v>OH-SOS:713548:G774_0107</x:v>
      </x:c>
      <x:c r="N6" s="303" t="str">
        <x:v>primary_agreement_confirmed</x:v>
      </x:c>
      <x:c r="O6" s="303" t="str">
        <x:v>All three pages of the exact party stub were visually reviewed. The stub confirms MEX status and entity identity but does not name the survivor; the agreement supplies the Architonics edge and asset-vesting rule.</x:v>
      </x:c>
    </x:row>
    <x:row r="7" ht="66" customHeight="1">
      <x:c r="A7" s="303" t="str">
        <x:v>OH-MERGER-1989-12-22-713548</x:v>
      </x:c>
      <x:c r="B7" s="309" t="n">
        <x:v>2</x:v>
      </x:c>
      <x:c r="C7" s="303" t="str">
        <x:v>OH:713843</x:v>
      </x:c>
      <x:c r="D7" s="303" t="str">
        <x:v>713843</x:v>
      </x:c>
      <x:c r="E7" s="303" t="str">
        <x:v>BRIARPATCH FIELDS, INC.</x:v>
      </x:c>
      <x:c r="F7" s="303" t="str">
        <x:v>predecessor</x:v>
      </x:c>
      <x:c r="G7" s="303" t="str">
        <x:v>OH:713548</x:v>
      </x:c>
      <x:c r="H7" s="315" t="str">
        <x:v>G774_0119</x:v>
      </x:c>
      <x:c r="I7" s="303" t="str">
        <x:v>primary_image_confirmed</x:v>
      </x:c>
      <x:c r="J7" s="312" t="n">
        <x:v>32864.5</x:v>
      </x:c>
      <x:c r="K7" s="303" t="str">
        <x:v>Search Briarpatch through 1989-12-22; search Architonics from that date forward; also search both names for confirmatory deeds and explicit successor-by-merger language.</x:v>
      </x:c>
      <x:c r="L7" s="303" t="str">
        <x:v>3-8</x:v>
      </x:c>
      <x:c r="M7" s="303" t="str">
        <x:v>OH-SOS:713548:G774_0107</x:v>
      </x:c>
      <x:c r="N7" s="303" t="str">
        <x:v>primary_agreement_confirmed</x:v>
      </x:c>
      <x:c r="O7" s="303" t="str">
        <x:v>All three pages of the exact party stub were visually reviewed. The stub confirms MEX status and entity identity but does not name the survivor; the agreement supplies the Architonics edge and asset-vesting rule.</x:v>
      </x:c>
    </x:row>
    <x:row r="8" ht="66" customHeight="1">
      <x:c r="A8" s="303" t="str">
        <x:v>OH-MERGER-1989-12-22-713548</x:v>
      </x:c>
      <x:c r="B8" s="309" t="n">
        <x:v>3</x:v>
      </x:c>
      <x:c r="C8" s="303" t="str">
        <x:v>OH:713549</x:v>
      </x:c>
      <x:c r="D8" s="303" t="str">
        <x:v>713549</x:v>
      </x:c>
      <x:c r="E8" s="303" t="str">
        <x:v>C &amp; C HOOSIERS, INC.</x:v>
      </x:c>
      <x:c r="F8" s="303" t="str">
        <x:v>predecessor</x:v>
      </x:c>
      <x:c r="G8" s="303" t="str">
        <x:v>OH:713548</x:v>
      </x:c>
      <x:c r="H8" s="315" t="str">
        <x:v>G774_0122</x:v>
      </x:c>
      <x:c r="I8" s="303" t="str">
        <x:v>spot_checked_primary_image</x:v>
      </x:c>
      <x:c r="J8" s="312" t="n">
        <x:v>32864.5</x:v>
      </x:c>
      <x:c r="K8" s="303" t="str">
        <x:v>Search this predecessor through 1989-12-22; search Architonics from that date forward.</x:v>
      </x:c>
      <x:c r="L8" s="303" t="str">
        <x:v>3-8</x:v>
      </x:c>
      <x:c r="M8" s="303" t="str">
        <x:v>OH-SOS:713548:G774_0107</x:v>
      </x:c>
      <x:c r="N8" s="303" t="str">
        <x:v>primary_agreement_confirmed</x:v>
      </x:c>
      <x:c r="O8" s="303" t="str">
        <x:v>Outside the Dorothy Snow agent export; third three-frame MEX stub.</x:v>
      </x:c>
    </x:row>
    <x:row r="9" ht="66" customHeight="1">
      <x:c r="A9" s="303" t="str">
        <x:v>OH-MERGER-1989-12-22-713548</x:v>
      </x:c>
      <x:c r="B9" s="309" t="n">
        <x:v>4</x:v>
      </x:c>
      <x:c r="C9" s="303" t="str">
        <x:v>OH:713838</x:v>
      </x:c>
      <x:c r="D9" s="303" t="str">
        <x:v>713838</x:v>
      </x:c>
      <x:c r="E9" s="303" t="str">
        <x:v>CANDLEBERRY COVE, INC.</x:v>
      </x:c>
      <x:c r="F9" s="303" t="str">
        <x:v>predecessor</x:v>
      </x:c>
      <x:c r="G9" s="303" t="str">
        <x:v>OH:713548</x:v>
      </x:c>
      <x:c r="H9" s="315" t="str">
        <x:v>G774_0125</x:v>
      </x:c>
      <x:c r="I9" s="303" t="str">
        <x:v>primary_image_confirmed</x:v>
      </x:c>
      <x:c r="J9" s="312" t="n">
        <x:v>32864.5</x:v>
      </x:c>
      <x:c r="K9" s="303" t="str">
        <x:v>Search Candleberry through 1989-12-22; search Architonics from that date forward; also search both names for confirmatory deeds and explicit successor-by-merger language.</x:v>
      </x:c>
      <x:c r="L9" s="303" t="str">
        <x:v>3-8</x:v>
      </x:c>
      <x:c r="M9" s="303" t="str">
        <x:v>OH-SOS:713548:G774_0107</x:v>
      </x:c>
      <x:c r="N9" s="303" t="str">
        <x:v>primary_agreement_confirmed</x:v>
      </x:c>
      <x:c r="O9" s="303" t="str">
        <x:v>The formerly sequence-derived ID is now confirmed by visual review of all three pages. The stub states MEX only; it does not independently name Architonics, another constituent, an owner, or a parcel.</x:v>
      </x:c>
    </x:row>
    <x:row r="10" ht="66" customHeight="1">
      <x:c r="A10" s="303" t="str">
        <x:v>OH-MERGER-1989-12-22-713548</x:v>
      </x:c>
      <x:c r="B10" s="309" t="n">
        <x:v>5</x:v>
      </x:c>
      <x:c r="C10" s="303" t="str">
        <x:v>OH:720366</x:v>
      </x:c>
      <x:c r="D10" s="303" t="str">
        <x:v>720366</x:v>
      </x:c>
      <x:c r="E10" s="303" t="str">
        <x:v>CHESSER ESTATES, INC.</x:v>
      </x:c>
      <x:c r="F10" s="303" t="str">
        <x:v>predecessor</x:v>
      </x:c>
      <x:c r="G10" s="303" t="str">
        <x:v>OH:713548</x:v>
      </x:c>
      <x:c r="H10" s="315" t="str">
        <x:v>G774_0128</x:v>
      </x:c>
      <x:c r="I10" s="303" t="str">
        <x:v>primary_image_confirmed</x:v>
      </x:c>
      <x:c r="J10" s="312" t="n">
        <x:v>32864.5</x:v>
      </x:c>
      <x:c r="K10" s="303" t="str">
        <x:v>Search Chesser Estates through 1989-12-22; search Architonics from that date forward; also search both names for confirmatory deeds and explicit successor-by-merger language.</x:v>
      </x:c>
      <x:c r="L10" s="303" t="str">
        <x:v>3-8</x:v>
      </x:c>
      <x:c r="M10" s="303" t="str">
        <x:v>OH-SOS:713548:G774_0107</x:v>
      </x:c>
      <x:c r="N10" s="303" t="str">
        <x:v>primary_agreement_confirmed</x:v>
      </x:c>
      <x:c r="O10" s="303" t="str">
        <x:v>The formerly sequence-derived ID is now confirmed by visual review of all three pages. The stub states MEX only; it does not independently name Architonics, another constituent, an owner, or a parcel.</x:v>
      </x:c>
    </x:row>
    <x:row r="11" ht="66" customHeight="1">
      <x:c r="A11" s="303" t="str">
        <x:v>OH-MERGER-1989-12-22-713548</x:v>
      </x:c>
      <x:c r="B11" s="309" t="n">
        <x:v>6</x:v>
      </x:c>
      <x:c r="C11" s="303" t="str">
        <x:v>OH:728765</x:v>
      </x:c>
      <x:c r="D11" s="303" t="str">
        <x:v>728765</x:v>
      </x:c>
      <x:c r="E11" s="303" t="str">
        <x:v>CURRANT CORPORATION</x:v>
      </x:c>
      <x:c r="F11" s="303" t="str">
        <x:v>predecessor</x:v>
      </x:c>
      <x:c r="G11" s="303" t="str">
        <x:v>OH:713548</x:v>
      </x:c>
      <x:c r="H11" s="315" t="str">
        <x:v>G774_0131</x:v>
      </x:c>
      <x:c r="I11" s="303" t="str">
        <x:v>primary_image_confirmed</x:v>
      </x:c>
      <x:c r="J11" s="312" t="n">
        <x:v>32864.5</x:v>
      </x:c>
      <x:c r="K11" s="303" t="str">
        <x:v>Search Currant Corporation through 1989-12-22; search Architonics from that date forward; also search both names for confirmatory deeds and explicit successor-by-merger language.</x:v>
      </x:c>
      <x:c r="L11" s="303" t="str">
        <x:v>3-8</x:v>
      </x:c>
      <x:c r="M11" s="303" t="str">
        <x:v>OH-SOS:713548:G774_0107</x:v>
      </x:c>
      <x:c r="N11" s="303" t="str">
        <x:v>primary_agreement_confirmed</x:v>
      </x:c>
      <x:c r="O11" s="303" t="str">
        <x:v>All three pages of the exact party stub were visually reviewed. The stub confirms MEX status and entity identity but does not name the survivor, another constituent, an owner, or a parcel; G774_0107 supplies the Architonics edge and asset-vesting rule.</x:v>
      </x:c>
    </x:row>
    <x:row r="12" ht="66" customHeight="1">
      <x:c r="A12" s="303" t="str">
        <x:v>OH-MERGER-1989-12-22-713548</x:v>
      </x:c>
      <x:c r="B12" s="309" t="n">
        <x:v>7</x:v>
      </x:c>
      <x:c r="C12" s="303" t="str">
        <x:v>OH:724615</x:v>
      </x:c>
      <x:c r="D12" s="303" t="str">
        <x:v>724615</x:v>
      </x:c>
      <x:c r="E12" s="303" t="str">
        <x:v>DONNER DEVELOPMENT COMPANY</x:v>
      </x:c>
      <x:c r="F12" s="303" t="str">
        <x:v>predecessor</x:v>
      </x:c>
      <x:c r="G12" s="303" t="str">
        <x:v>OH:713548</x:v>
      </x:c>
      <x:c r="H12" s="315" t="str">
        <x:v>G774_0134</x:v>
      </x:c>
      <x:c r="I12" s="303" t="str">
        <x:v>primary_image_confirmed</x:v>
      </x:c>
      <x:c r="J12" s="312" t="n">
        <x:v>32864.5</x:v>
      </x:c>
      <x:c r="K12" s="303" t="str">
        <x:v>Search Donner Development Company through 1989-12-22; search Architonics from that date forward; also search both names for confirmatory deeds and explicit successor-by-merger language.</x:v>
      </x:c>
      <x:c r="L12" s="303" t="str">
        <x:v>3-8</x:v>
      </x:c>
      <x:c r="M12" s="303" t="str">
        <x:v>OH-SOS:713548:G774_0107</x:v>
      </x:c>
      <x:c r="N12" s="303" t="str">
        <x:v>primary_agreement_confirmed</x:v>
      </x:c>
      <x:c r="O12" s="303" t="str">
        <x:v>All three pages of the exact party stub were visually reviewed. The stub confirms MEX status and entity identity but does not name the survivor, another constituent, an owner, or a parcel; G774_0107 supplies the Architonics edge and asset-vesting rule.</x:v>
      </x:c>
    </x:row>
    <x:row r="13" ht="66" customHeight="1">
      <x:c r="A13" s="303" t="str">
        <x:v>OH-MERGER-1989-12-22-713548</x:v>
      </x:c>
      <x:c r="B13" s="309" t="n">
        <x:v>8</x:v>
      </x:c>
      <x:c r="C13" s="303" t="str">
        <x:v>OH:713922</x:v>
      </x:c>
      <x:c r="D13" s="303" t="str">
        <x:v>713922</x:v>
      </x:c>
      <x:c r="E13" s="303" t="str">
        <x:v>FRONTIER TRADERS, INC.</x:v>
      </x:c>
      <x:c r="F13" s="303" t="str">
        <x:v>predecessor</x:v>
      </x:c>
      <x:c r="G13" s="303" t="str">
        <x:v>OH:713548</x:v>
      </x:c>
      <x:c r="H13" s="315" t="str">
        <x:v>G774_0137</x:v>
      </x:c>
      <x:c r="I13" s="303" t="str">
        <x:v>primary_image_confirmed</x:v>
      </x:c>
      <x:c r="J13" s="312" t="n">
        <x:v>32864.5</x:v>
      </x:c>
      <x:c r="K13" s="303" t="str">
        <x:v>Search Frontier through 1989-12-22; search Architonics from that date forward; also search both names for confirmatory deeds and explicit successor-by-merger language.</x:v>
      </x:c>
      <x:c r="L13" s="303" t="str">
        <x:v>3-8</x:v>
      </x:c>
      <x:c r="M13" s="303" t="str">
        <x:v>OH-SOS:713548:G774_0107</x:v>
      </x:c>
      <x:c r="N13" s="303" t="str">
        <x:v>primary_agreement_confirmed</x:v>
      </x:c>
      <x:c r="O13" s="303" t="str">
        <x:v>The formerly sequence-derived ID is now confirmed by visual review of all three pages. The stub states MEX only; it does not independently name Architonics, another constituent, an owner, or a parcel.</x:v>
      </x:c>
    </x:row>
    <x:row r="14" ht="66" customHeight="1">
      <x:c r="A14" s="303" t="str">
        <x:v>OH-MERGER-1989-12-22-713548</x:v>
      </x:c>
      <x:c r="B14" s="309" t="n">
        <x:v>9</x:v>
      </x:c>
      <x:c r="C14" s="303" t="str">
        <x:v>OH:731364</x:v>
      </x:c>
      <x:c r="D14" s="303" t="str">
        <x:v>731364</x:v>
      </x:c>
      <x:c r="E14" s="303" t="str">
        <x:v>GRAETON DEVELOPMENT COMPANY</x:v>
      </x:c>
      <x:c r="F14" s="303" t="str">
        <x:v>predecessor</x:v>
      </x:c>
      <x:c r="G14" s="303" t="str">
        <x:v>OH:713548</x:v>
      </x:c>
      <x:c r="H14" s="315" t="str">
        <x:v>G774_0140</x:v>
      </x:c>
      <x:c r="I14" s="303" t="str">
        <x:v>primary_image_confirmed</x:v>
      </x:c>
      <x:c r="J14" s="312" t="n">
        <x:v>32864.5</x:v>
      </x:c>
      <x:c r="K14" s="303" t="str">
        <x:v>Search Graeton Development Company through 1989-12-22; search Architonics from that date forward; also search both names for confirmatory deeds and explicit successor-by-merger language.</x:v>
      </x:c>
      <x:c r="L14" s="303" t="str">
        <x:v>3-8</x:v>
      </x:c>
      <x:c r="M14" s="303" t="str">
        <x:v>OH-SOS:713548:G774_0107</x:v>
      </x:c>
      <x:c r="N14" s="303" t="str">
        <x:v>primary_agreement_confirmed</x:v>
      </x:c>
      <x:c r="O14" s="303" t="str">
        <x:v>All three pages of the exact party stub were visually reviewed. The stub confirms MEX status and entity identity but does not name the survivor, another constituent, an owner, or a parcel; G774_0107 supplies the Architonics edge and asset-vesting rule.</x:v>
      </x:c>
    </x:row>
    <x:row r="15" ht="66" customHeight="1">
      <x:c r="A15" s="303" t="str">
        <x:v>OH-MERGER-1989-12-22-713548</x:v>
      </x:c>
      <x:c r="B15" s="309" t="n">
        <x:v>10</x:v>
      </x:c>
      <x:c r="C15" s="303" t="str">
        <x:v>OH:713923</x:v>
      </x:c>
      <x:c r="D15" s="303" t="str">
        <x:v>713923</x:v>
      </x:c>
      <x:c r="E15" s="303" t="str">
        <x:v>KITZMILLER PROPERTIES, INC.</x:v>
      </x:c>
      <x:c r="F15" s="303" t="str">
        <x:v>predecessor</x:v>
      </x:c>
      <x:c r="G15" s="303" t="str">
        <x:v>OH:713548</x:v>
      </x:c>
      <x:c r="H15" s="315" t="str">
        <x:v>G774_0143</x:v>
      </x:c>
      <x:c r="I15" s="303" t="str">
        <x:v>primary_image_confirmed</x:v>
      </x:c>
      <x:c r="J15" s="312" t="n">
        <x:v>32864.5</x:v>
      </x:c>
      <x:c r="K15" s="303" t="str">
        <x:v>Search Kitzmiller through 1989-12-22; search Architonics from that date forward; also search both names for confirmatory deeds and explicit successor-by-merger language.</x:v>
      </x:c>
      <x:c r="L15" s="303" t="str">
        <x:v>3-8</x:v>
      </x:c>
      <x:c r="M15" s="303" t="str">
        <x:v>OH-SOS:713548:G774_0107</x:v>
      </x:c>
      <x:c r="N15" s="303" t="str">
        <x:v>primary_agreement_confirmed</x:v>
      </x:c>
      <x:c r="O15" s="303" t="str">
        <x:v>The formerly sequence-derived ID is now confirmed by visual review of all three pages. The stub states MEX only; it does not independently name Architonics, another constituent, an owner, or a parcel.</x:v>
      </x:c>
    </x:row>
    <x:row r="16" ht="66" customHeight="1">
      <x:c r="A16" s="303" t="str">
        <x:v>OH-MERGER-1989-12-22-713548</x:v>
      </x:c>
      <x:c r="B16" s="309" t="n">
        <x:v>11</x:v>
      </x:c>
      <x:c r="C16" s="303" t="str">
        <x:v>OH:712264</x:v>
      </x:c>
      <x:c r="D16" s="303" t="str">
        <x:v>712264</x:v>
      </x:c>
      <x:c r="E16" s="303" t="str">
        <x:v>LEEACE, INC.</x:v>
      </x:c>
      <x:c r="F16" s="303" t="str">
        <x:v>predecessor</x:v>
      </x:c>
      <x:c r="G16" s="303" t="str">
        <x:v>OH:713548</x:v>
      </x:c>
      <x:c r="H16" s="315" t="str">
        <x:v>G774_0146</x:v>
      </x:c>
      <x:c r="I16" s="303" t="str">
        <x:v>primary_image_confirmed</x:v>
      </x:c>
      <x:c r="J16" s="312" t="n">
        <x:v>32864.5</x:v>
      </x:c>
      <x:c r="K16" s="303" t="str">
        <x:v>Search both LEEACE spellings through 1989-12-22; search Architonics from that date forward; also search both names for confirmatory deeds and explicit successor-by-merger language.</x:v>
      </x:c>
      <x:c r="L16" s="303" t="str">
        <x:v>3-8</x:v>
      </x:c>
      <x:c r="M16" s="303" t="str">
        <x:v>OH-SOS:713548:G774_0107</x:v>
      </x:c>
      <x:c r="N16" s="303" t="str">
        <x:v>primary_agreement_confirmed</x:v>
      </x:c>
      <x:c r="O16" s="303" t="str">
        <x:v>All three pages of the exact party stub were visually reviewed. The stub confirms MEX status and charter 712264 but does not name the survivor; the export and formation packet spell LEEACE INC. while the agreement prints LEEACE, INC.</x:v>
      </x:c>
    </x:row>
    <x:row r="17" ht="66" customHeight="1">
      <x:c r="A17" s="303" t="str">
        <x:v>OH-MERGER-1989-12-22-713548</x:v>
      </x:c>
      <x:c r="B17" s="309" t="n">
        <x:v>12</x:v>
      </x:c>
      <x:c r="C17" s="303" t="str">
        <x:v>OH:728767</x:v>
      </x:c>
      <x:c r="D17" s="303" t="str">
        <x:v>728767</x:v>
      </x:c>
      <x:c r="E17" s="303" t="str">
        <x:v>MARGIN MANAGEMENT COMPANY</x:v>
      </x:c>
      <x:c r="F17" s="303" t="str">
        <x:v>predecessor</x:v>
      </x:c>
      <x:c r="G17" s="303" t="str">
        <x:v>OH:713548</x:v>
      </x:c>
      <x:c r="H17" s="315" t="str">
        <x:v>G774_0149</x:v>
      </x:c>
      <x:c r="I17" s="303" t="str">
        <x:v>primary_image_confirmed</x:v>
      </x:c>
      <x:c r="J17" s="312" t="n">
        <x:v>32864.5</x:v>
      </x:c>
      <x:c r="K17" s="303" t="str">
        <x:v>Search Margin Management Company through 1989-12-22; search Architonics from that date forward; also search both names for confirmatory deeds and explicit successor-by-merger language.</x:v>
      </x:c>
      <x:c r="L17" s="303" t="str">
        <x:v>3-8</x:v>
      </x:c>
      <x:c r="M17" s="303" t="str">
        <x:v>OH-SOS:713548:G774_0107</x:v>
      </x:c>
      <x:c r="N17" s="303" t="str">
        <x:v>primary_agreement_confirmed</x:v>
      </x:c>
      <x:c r="O17" s="303" t="str">
        <x:v>All three pages of the exact party stub were visually reviewed. The stub confirms MEX status and entity identity but does not name the survivor, another constituent, an owner, or a parcel; G774_0107 supplies the Architonics edge and asset-vesting rule.</x:v>
      </x:c>
    </x:row>
    <x:row r="18" ht="66" customHeight="1">
      <x:c r="A18" s="303" t="str">
        <x:v>OH-MERGER-1989-12-22-713548</x:v>
      </x:c>
      <x:c r="B18" s="309" t="n">
        <x:v>13</x:v>
      </x:c>
      <x:c r="C18" s="303" t="str">
        <x:v>OH:719943</x:v>
      </x:c>
      <x:c r="D18" s="303" t="str">
        <x:v>719943</x:v>
      </x:c>
      <x:c r="E18" s="303" t="str">
        <x:v>MEADE DEVELOPMENT CORPORATION</x:v>
      </x:c>
      <x:c r="F18" s="303" t="str">
        <x:v>predecessor</x:v>
      </x:c>
      <x:c r="G18" s="303" t="str">
        <x:v>OH:713548</x:v>
      </x:c>
      <x:c r="H18" s="315" t="str">
        <x:v>G774_0152</x:v>
      </x:c>
      <x:c r="I18" s="303" t="str">
        <x:v>primary_image_confirmed</x:v>
      </x:c>
      <x:c r="J18" s="312" t="n">
        <x:v>32864.5</x:v>
      </x:c>
      <x:c r="K18" s="303" t="str">
        <x:v>Search Meade Development Corporation through 1989-12-22; search Architonics from that date forward; also search both names for confirmatory deeds and explicit successor-by-merger language.</x:v>
      </x:c>
      <x:c r="L18" s="303" t="str">
        <x:v>3-8</x:v>
      </x:c>
      <x:c r="M18" s="303" t="str">
        <x:v>OH-SOS:713548:G774_0107</x:v>
      </x:c>
      <x:c r="N18" s="303" t="str">
        <x:v>primary_agreement_confirmed</x:v>
      </x:c>
      <x:c r="O18" s="303" t="str">
        <x:v>The formerly sequence-derived ID is now confirmed by visual review of all three pages. The stub states MEX only; it does not independently name Architonics, another constituent, an owner, or a parcel.</x:v>
      </x:c>
    </x:row>
    <x:row r="19" ht="66" customHeight="1">
      <x:c r="A19" s="303" t="str">
        <x:v>OH-MERGER-1989-12-22-713548</x:v>
      </x:c>
      <x:c r="B19" s="309" t="n">
        <x:v>14</x:v>
      </x:c>
      <x:c r="C19" s="303" t="str">
        <x:v>OH:698293</x:v>
      </x:c>
      <x:c r="D19" s="303" t="str">
        <x:v>698293</x:v>
      </x:c>
      <x:c r="E19" s="303" t="str">
        <x:v>NEW ALBANY 45, INC.</x:v>
      </x:c>
      <x:c r="F19" s="303" t="str">
        <x:v>predecessor</x:v>
      </x:c>
      <x:c r="G19" s="303" t="str">
        <x:v>OH:713548</x:v>
      </x:c>
      <x:c r="H19" s="315" t="str">
        <x:v>G774_0155</x:v>
      </x:c>
      <x:c r="I19" s="303" t="str">
        <x:v>inferred_contiguous_sequence_not_opened</x:v>
      </x:c>
      <x:c r="J19" s="312" t="n">
        <x:v>32864.5</x:v>
      </x:c>
      <x:c r="K19" s="303" t="str">
        <x:v>Search this predecessor through 1989-12-22; search Architonics from that date forward.</x:v>
      </x:c>
      <x:c r="L19" s="303" t="str">
        <x:v>3-8</x:v>
      </x:c>
      <x:c r="M19" s="303" t="str">
        <x:v>OH-SOS:713548:G774_0107</x:v>
      </x:c>
      <x:c r="N19" s="303" t="str">
        <x:v>primary_agreement_confirmed</x:v>
      </x:c>
      <x:c r="O19" s="303" t="str">
        <x:v>Outside the Dorothy Snow agent export; exact Ohio number confirmed by official exact-name search.</x:v>
      </x:c>
    </x:row>
    <x:row r="20" ht="66" customHeight="1">
      <x:c r="A20" s="303" t="str">
        <x:v>OH-MERGER-1989-12-22-713548</x:v>
      </x:c>
      <x:c r="B20" s="309" t="n">
        <x:v>15</x:v>
      </x:c>
      <x:c r="C20" s="303" t="str">
        <x:v>OH:698292</x:v>
      </x:c>
      <x:c r="D20" s="303" t="str">
        <x:v>698292</x:v>
      </x:c>
      <x:c r="E20" s="303" t="str">
        <x:v>NEW ALBANY 42, INC.</x:v>
      </x:c>
      <x:c r="F20" s="303" t="str">
        <x:v>predecessor</x:v>
      </x:c>
      <x:c r="G20" s="303" t="str">
        <x:v>OH:713548</x:v>
      </x:c>
      <x:c r="H20" s="315" t="str">
        <x:v>G774_0158</x:v>
      </x:c>
      <x:c r="I20" s="303" t="str">
        <x:v>inferred_contiguous_sequence_not_opened</x:v>
      </x:c>
      <x:c r="J20" s="312" t="n">
        <x:v>32864.5</x:v>
      </x:c>
      <x:c r="K20" s="303" t="str">
        <x:v>Search this predecessor through 1989-12-22; search Architonics from that date forward.</x:v>
      </x:c>
      <x:c r="L20" s="303" t="str">
        <x:v>3-8</x:v>
      </x:c>
      <x:c r="M20" s="303" t="str">
        <x:v>OH-SOS:713548:G774_0107</x:v>
      </x:c>
      <x:c r="N20" s="303" t="str">
        <x:v>primary_agreement_confirmed</x:v>
      </x:c>
      <x:c r="O20" s="303" t="str">
        <x:v>Outside the Dorothy Snow agent export; exact Ohio number confirmed by official exact-name search.</x:v>
      </x:c>
    </x:row>
    <x:row r="21" ht="66" customHeight="1">
      <x:c r="A21" s="303" t="str">
        <x:v>OH-MERGER-1989-12-22-713548</x:v>
      </x:c>
      <x:c r="B21" s="309" t="n">
        <x:v>16</x:v>
      </x:c>
      <x:c r="C21" s="303" t="str">
        <x:v>OH:698294</x:v>
      </x:c>
      <x:c r="D21" s="303" t="str">
        <x:v>698294</x:v>
      </x:c>
      <x:c r="E21" s="303" t="str">
        <x:v>NEW ALBANY 100, INC.</x:v>
      </x:c>
      <x:c r="F21" s="303" t="str">
        <x:v>predecessor</x:v>
      </x:c>
      <x:c r="G21" s="303" t="str">
        <x:v>OH:713548</x:v>
      </x:c>
      <x:c r="H21" s="315" t="str">
        <x:v>G774_0161</x:v>
      </x:c>
      <x:c r="I21" s="303" t="str">
        <x:v>inferred_contiguous_sequence_not_opened</x:v>
      </x:c>
      <x:c r="J21" s="312" t="n">
        <x:v>32864.5</x:v>
      </x:c>
      <x:c r="K21" s="303" t="str">
        <x:v>Search this predecessor through 1989-12-22; search Architonics from that date forward.</x:v>
      </x:c>
      <x:c r="L21" s="303" t="str">
        <x:v>3-8</x:v>
      </x:c>
      <x:c r="M21" s="303" t="str">
        <x:v>OH-SOS:713548:G774_0107</x:v>
      </x:c>
      <x:c r="N21" s="303" t="str">
        <x:v>primary_agreement_confirmed</x:v>
      </x:c>
      <x:c r="O21" s="303" t="str">
        <x:v>Outside the Dorothy Snow agent export; exact Ohio number confirmed by official exact-name search.</x:v>
      </x:c>
    </x:row>
    <x:row r="22" ht="66" customHeight="1">
      <x:c r="A22" s="303" t="str">
        <x:v>OH-MERGER-1989-12-22-713548</x:v>
      </x:c>
      <x:c r="B22" s="309" t="n">
        <x:v>17</x:v>
      </x:c>
      <x:c r="C22" s="303" t="str">
        <x:v>OH:720361</x:v>
      </x:c>
      <x:c r="D22" s="303" t="str">
        <x:v>720361</x:v>
      </x:c>
      <x:c r="E22" s="303" t="str">
        <x:v>PALM PROPERTIES, INC.</x:v>
      </x:c>
      <x:c r="F22" s="303" t="str">
        <x:v>predecessor</x:v>
      </x:c>
      <x:c r="G22" s="303" t="str">
        <x:v>OH:713548</x:v>
      </x:c>
      <x:c r="H22" s="315" t="str">
        <x:v>G774_0164</x:v>
      </x:c>
      <x:c r="I22" s="303" t="str">
        <x:v>primary_image_confirmed</x:v>
      </x:c>
      <x:c r="J22" s="312" t="n">
        <x:v>32864.5</x:v>
      </x:c>
      <x:c r="K22" s="303" t="str">
        <x:v>Search Palm Properties through 1989-12-22; search Architonics from that date forward; also search both names for confirmatory deeds and explicit successor-by-merger language.</x:v>
      </x:c>
      <x:c r="L22" s="303" t="str">
        <x:v>3-8</x:v>
      </x:c>
      <x:c r="M22" s="303" t="str">
        <x:v>OH-SOS:713548:G774_0107</x:v>
      </x:c>
      <x:c r="N22" s="303" t="str">
        <x:v>primary_agreement_confirmed</x:v>
      </x:c>
      <x:c r="O22" s="303" t="str">
        <x:v>The formerly sequence-derived ID is now confirmed by visual review of all three pages. The stub states MEX only; it does not independently name Architonics, another constituent, an owner, or a parcel.</x:v>
      </x:c>
    </x:row>
    <x:row r="23" ht="66" customHeight="1">
      <x:c r="A23" s="303" t="str">
        <x:v>OH-MERGER-1989-12-22-713548</x:v>
      </x:c>
      <x:c r="B23" s="309" t="n">
        <x:v>18</x:v>
      </x:c>
      <x:c r="C23" s="303" t="str">
        <x:v>OH:713925</x:v>
      </x:c>
      <x:c r="D23" s="303" t="str">
        <x:v>713925</x:v>
      </x:c>
      <x:c r="E23" s="303" t="str">
        <x:v>SNOWBERRY HILLS, INC.</x:v>
      </x:c>
      <x:c r="F23" s="303" t="str">
        <x:v>predecessor</x:v>
      </x:c>
      <x:c r="G23" s="303" t="str">
        <x:v>OH:713548</x:v>
      </x:c>
      <x:c r="H23" s="315" t="str">
        <x:v>G774_0167</x:v>
      </x:c>
      <x:c r="I23" s="303" t="str">
        <x:v>primary_image_confirmed</x:v>
      </x:c>
      <x:c r="J23" s="312" t="n">
        <x:v>32864.5</x:v>
      </x:c>
      <x:c r="K23" s="303" t="str">
        <x:v>Search Snowberry through 1989-12-22; search Architonics from that date forward; also search both names for confirmatory deeds and explicit successor-by-merger language.</x:v>
      </x:c>
      <x:c r="L23" s="303" t="str">
        <x:v>3-8</x:v>
      </x:c>
      <x:c r="M23" s="303" t="str">
        <x:v>OH-SOS:713548:G774_0107</x:v>
      </x:c>
      <x:c r="N23" s="303" t="str">
        <x:v>primary_agreement_confirmed</x:v>
      </x:c>
      <x:c r="O23" s="303" t="str">
        <x:v>The formerly sequence-derived ID is now confirmed by visual review of all three pages. The stub states MEX only; it does not independently name Architonics, another constituent, an owner, or a parcel.</x:v>
      </x:c>
    </x:row>
    <x:row r="24" ht="66" customHeight="1">
      <x:c r="A24" s="303" t="str">
        <x:v>OH-MERGER-1989-12-22-713548</x:v>
      </x:c>
      <x:c r="B24" s="309" t="n">
        <x:v>19</x:v>
      </x:c>
      <x:c r="C24" s="303" t="str">
        <x:v>OH:714675</x:v>
      </x:c>
      <x:c r="D24" s="303" t="str">
        <x:v>714675</x:v>
      </x:c>
      <x:c r="E24" s="303" t="str">
        <x:v>SPRING HARBOR PROPERTIES, INC.</x:v>
      </x:c>
      <x:c r="F24" s="303" t="str">
        <x:v>predecessor</x:v>
      </x:c>
      <x:c r="G24" s="303" t="str">
        <x:v>OH:713548</x:v>
      </x:c>
      <x:c r="H24" s="315" t="str">
        <x:v>G774_0170</x:v>
      </x:c>
      <x:c r="I24" s="303" t="str">
        <x:v>primary_image_confirmed</x:v>
      </x:c>
      <x:c r="J24" s="312" t="n">
        <x:v>32864.5</x:v>
      </x:c>
      <x:c r="K24" s="303" t="str">
        <x:v>Search Spring Harbor Properties through 1989-12-22; search Architonics from that date forward; also search both names for confirmatory deeds and explicit successor-by-merger language.</x:v>
      </x:c>
      <x:c r="L24" s="303" t="str">
        <x:v>3-8</x:v>
      </x:c>
      <x:c r="M24" s="303" t="str">
        <x:v>OH-SOS:713548:G774_0107</x:v>
      </x:c>
      <x:c r="N24" s="303" t="str">
        <x:v>primary_agreement_confirmed</x:v>
      </x:c>
      <x:c r="O24" s="303" t="str">
        <x:v>The formerly sequence-derived ID is now confirmed by visual review of all three pages. The exact legal name includes PROPERTIES. The stub states MEX only; it does not independently name Architonics, another constituent, an owner, or a parcel.</x:v>
      </x:c>
    </x:row>
    <x:row r="25" ht="66" customHeight="1">
      <x:c r="A25" s="303" t="str">
        <x:v>OH-MERGER-1989-12-22-713548</x:v>
      </x:c>
      <x:c r="B25" s="309" t="n">
        <x:v>20</x:v>
      </x:c>
      <x:c r="C25" s="303" t="str">
        <x:v>OH:724620</x:v>
      </x:c>
      <x:c r="D25" s="303" t="str">
        <x:v>724620</x:v>
      </x:c>
      <x:c r="E25" s="303" t="str">
        <x:v>SUMMIT HOLDING, INC.</x:v>
      </x:c>
      <x:c r="F25" s="303" t="str">
        <x:v>predecessor</x:v>
      </x:c>
      <x:c r="G25" s="303" t="str">
        <x:v>OH:713548</x:v>
      </x:c>
      <x:c r="H25" s="315" t="str">
        <x:v>G774_0173</x:v>
      </x:c>
      <x:c r="I25" s="303" t="str">
        <x:v>primary_image_confirmed</x:v>
      </x:c>
      <x:c r="J25" s="312" t="n">
        <x:v>32864.5</x:v>
      </x:c>
      <x:c r="K25" s="303" t="str">
        <x:v>Search Summit Holding, Inc. through 1989-12-22; search Architonics from that date forward; also search both names for confirmatory deeds and explicit successor-by-merger language.</x:v>
      </x:c>
      <x:c r="L25" s="303" t="str">
        <x:v>3-8</x:v>
      </x:c>
      <x:c r="M25" s="303" t="str">
        <x:v>OH-SOS:713548:G774_0107</x:v>
      </x:c>
      <x:c r="N25" s="303" t="str">
        <x:v>primary_agreement_confirmed</x:v>
      </x:c>
      <x:c r="O25" s="303" t="str">
        <x:v>All three pages of the exact party stub were visually reviewed. The stub confirms MEX status and entity identity but does not name the survivor, another constituent, an owner, or a parcel; G774_0107 supplies the Architonics edge and asset-vesting rule.</x:v>
      </x:c>
    </x:row>
    <x:row r="26" ht="66" customHeight="1">
      <x:c r="A26" s="303" t="str">
        <x:v>OH-MERGER-1989-12-22-713548</x:v>
      </x:c>
      <x:c r="B26" s="309" t="n">
        <x:v>21</x:v>
      </x:c>
      <x:c r="C26" s="303" t="str">
        <x:v>OH:704657</x:v>
      </x:c>
      <x:c r="D26" s="303" t="str">
        <x:v>704657</x:v>
      </x:c>
      <x:c r="E26" s="303" t="str">
        <x:v>THOMPSON ROAD INVESTMENTS, INC.</x:v>
      </x:c>
      <x:c r="F26" s="303" t="str">
        <x:v>predecessor</x:v>
      </x:c>
      <x:c r="G26" s="303" t="str">
        <x:v>OH:713548</x:v>
      </x:c>
      <x:c r="H26" s="315" t="str">
        <x:v>G774_0176</x:v>
      </x:c>
      <x:c r="I26" s="303" t="str">
        <x:v>inferred_contiguous_sequence_not_opened</x:v>
      </x:c>
      <x:c r="J26" s="312" t="n">
        <x:v>32864.5</x:v>
      </x:c>
      <x:c r="K26" s="303" t="str">
        <x:v>Search this predecessor through 1989-12-22; search Architonics from that date forward.</x:v>
      </x:c>
      <x:c r="L26" s="303" t="str">
        <x:v>3-8</x:v>
      </x:c>
      <x:c r="M26" s="303" t="str">
        <x:v>OH-SOS:713548:G774_0107</x:v>
      </x:c>
      <x:c r="N26" s="303" t="str">
        <x:v>primary_agreement_confirmed</x:v>
      </x:c>
      <x:c r="O26" s="303" t="str">
        <x:v>Outside the Dorothy Snow agent export; exact Ohio number confirmed by official exact-name search.</x:v>
      </x:c>
    </x:row>
    <x:row r="27" ht="66" customHeight="1">
      <x:c r="A27" s="303" t="str">
        <x:v>OH-MERGER-1989-12-22-713548</x:v>
      </x:c>
      <x:c r="B27" s="309" t="n">
        <x:v>22</x:v>
      </x:c>
      <x:c r="C27" s="303" t="str">
        <x:v>OH:720489</x:v>
      </x:c>
      <x:c r="D27" s="303" t="str">
        <x:v>720489</x:v>
      </x:c>
      <x:c r="E27" s="303" t="str">
        <x:v>TIMBRE PROPERTIES, INC.</x:v>
      </x:c>
      <x:c r="F27" s="303" t="str">
        <x:v>predecessor</x:v>
      </x:c>
      <x:c r="G27" s="303" t="str">
        <x:v>OH:713548</x:v>
      </x:c>
      <x:c r="H27" s="315" t="str">
        <x:v>G774_0179</x:v>
      </x:c>
      <x:c r="I27" s="303" t="str">
        <x:v>primary_image_confirmed</x:v>
      </x:c>
      <x:c r="J27" s="312" t="n">
        <x:v>32864.5</x:v>
      </x:c>
      <x:c r="K27" s="303" t="str">
        <x:v>Search Timbre Properties through 1989-12-22; search Architonics from that date forward; also search both names for confirmatory deeds and explicit successor-by-merger language.</x:v>
      </x:c>
      <x:c r="L27" s="303" t="str">
        <x:v>3-8</x:v>
      </x:c>
      <x:c r="M27" s="303" t="str">
        <x:v>OH-SOS:713548:G774_0107</x:v>
      </x:c>
      <x:c r="N27" s="303" t="str">
        <x:v>primary_agreement_confirmed</x:v>
      </x:c>
      <x:c r="O27" s="303" t="str">
        <x:v>The formerly sequence-derived ID is now confirmed by visual review of all three pages. The stub states MEX only; it does not independently name Architonics, another constituent, an owner, or a parcel.</x:v>
      </x:c>
    </x:row>
    <x:row r="28" ht="66" customHeight="1">
      <x:c r="A28" s="303" t="str">
        <x:v>OH-MERGER-1989-12-22-713548</x:v>
      </x:c>
      <x:c r="B28" s="309" t="n">
        <x:v>23</x:v>
      </x:c>
      <x:c r="C28" s="303" t="str">
        <x:v>OH:720364</x:v>
      </x:c>
      <x:c r="D28" s="303" t="str">
        <x:v>720364</x:v>
      </x:c>
      <x:c r="E28" s="303" t="str">
        <x:v>VILLA DEVELOPMENT CORP.</x:v>
      </x:c>
      <x:c r="F28" s="303" t="str">
        <x:v>predecessor</x:v>
      </x:c>
      <x:c r="G28" s="303" t="str">
        <x:v>OH:713548</x:v>
      </x:c>
      <x:c r="H28" s="315" t="str">
        <x:v>G774_0182</x:v>
      </x:c>
      <x:c r="I28" s="303" t="str">
        <x:v>primary_image_confirmed</x:v>
      </x:c>
      <x:c r="J28" s="312" t="n">
        <x:v>32864.5</x:v>
      </x:c>
      <x:c r="K28" s="303" t="str">
        <x:v>Search Villa Development Corp. through 1989-12-22; search Architonics from that date forward; also search both names for confirmatory deeds and explicit successor-by-merger language.</x:v>
      </x:c>
      <x:c r="L28" s="303" t="str">
        <x:v>3-8</x:v>
      </x:c>
      <x:c r="M28" s="303" t="str">
        <x:v>OH-SOS:713548:G774_0107</x:v>
      </x:c>
      <x:c r="N28" s="303" t="str">
        <x:v>primary_agreement_confirmed</x:v>
      </x:c>
      <x:c r="O28" s="303" t="str">
        <x:v>All three pages of the exact party stub were visually reviewed. The stub confirms MEX status and entity identity but does not name the survivor, another constituent, an owner, or a parcel; G774_0107 supplies the Architonics edge and asset-vesting rule.</x:v>
      </x:c>
    </x:row>
    <x:row r="29" ht="66" customHeight="1">
      <x:c r="A29" s="303" t="str">
        <x:v>OH-MERGER-1990-08-31-719719</x:v>
      </x:c>
      <x:c r="B29" s="309" t="n">
        <x:v>0</x:v>
      </x:c>
      <x:c r="C29" s="303" t="str">
        <x:v>OH:719719</x:v>
      </x:c>
      <x:c r="D29" s="303" t="str">
        <x:v>719719</x:v>
      </x:c>
      <x:c r="E29" s="303" t="str">
        <x:v>CHERRY BOTTOM PROPERTIES, INC.</x:v>
      </x:c>
      <x:c r="F29" s="303" t="str">
        <x:v>survivor</x:v>
      </x:c>
      <x:c r="G29" s="303" t="str">
        <x:v>OH:719719</x:v>
      </x:c>
      <x:c r="H29" s="315" t="str">
        <x:v>G946_1531</x:v>
      </x:c>
      <x:c r="I29" s="303" t="str">
        <x:v>primary_image_confirmed</x:v>
      </x:c>
      <x:c r="J29" s="312" t="n">
        <x:v>33116.5</x:v>
      </x:c>
      <x:c r="K29" s="303" t="str">
        <x:v>Search this name from 1990-08-31 through its 1998 dissolution; then inspect asset-distribution and conveyance records.</x:v>
      </x:c>
      <x:c r="L29" s="303" t="str">
        <x:v>3-7</x:v>
      </x:c>
      <x:c r="M29" s="303" t="str">
        <x:v>OH-SOS:719719:G946_1531</x:v>
      </x:c>
      <x:c r="N29" s="303" t="str">
        <x:v>primary_agreement_confirmed</x:v>
      </x:c>
      <x:c r="O29" s="303" t="str">
        <x:v>Epstein was vice president at the merger; the filing does not name the shareholder or director.</x:v>
      </x:c>
    </x:row>
    <x:row r="30" ht="66" customHeight="1">
      <x:c r="A30" s="303" t="str">
        <x:v>OH-MERGER-1990-08-31-719719</x:v>
      </x:c>
      <x:c r="B30" s="309" t="n">
        <x:v>1</x:v>
      </x:c>
      <x:c r="C30" s="303" t="str">
        <x:v>OH:719718</x:v>
      </x:c>
      <x:c r="D30" s="303" t="str">
        <x:v>719718</x:v>
      </x:c>
      <x:c r="E30" s="303" t="str">
        <x:v>CHERRY BOTTOM INVESTORS, INC.</x:v>
      </x:c>
      <x:c r="F30" s="303" t="str">
        <x:v>predecessor</x:v>
      </x:c>
      <x:c r="G30" s="303" t="str">
        <x:v>OH:719719</x:v>
      </x:c>
      <x:c r="H30" s="315" t="str">
        <x:v>G946_1533;G946_1539</x:v>
      </x:c>
      <x:c r="I30" s="303" t="str">
        <x:v>primary_image_confirmed</x:v>
      </x:c>
      <x:c r="J30" s="312" t="n">
        <x:v>33116.5</x:v>
      </x:c>
      <x:c r="K30" s="303" t="str">
        <x:v>Search this predecessor through 1990-08-31; search Cherry Bottom Properties from that date through 1998.</x:v>
      </x:c>
      <x:c r="L30" s="303" t="str">
        <x:v>3-7</x:v>
      </x:c>
      <x:c r="M30" s="303" t="str">
        <x:v>OH-SOS:719718:G946_1533;OH-SOS:719718:G946_1539</x:v>
      </x:c>
      <x:c r="N30" s="303" t="str">
        <x:v>primary_agreement_confirmed</x:v>
      </x:c>
      <x:c r="O30" s="303" t="str">
        <x:v>Epstein was president. The short MEX stub does not name the survivor; the companion agreement does.</x:v>
      </x:c>
    </x:row>
    <x:row r="31" ht="66" customHeight="1">
      <x:c r="A31" s="303" t="str">
        <x:v>OH-MERGER-1995-12-29-855092</x:v>
      </x:c>
      <x:c r="B31" s="309" t="n">
        <x:v>0</x:v>
      </x:c>
      <x:c r="C31" s="303" t="str">
        <x:v>OH:855092</x:v>
      </x:c>
      <x:c r="D31" s="303" t="str">
        <x:v>855092</x:v>
      </x:c>
      <x:c r="E31" s="303" t="str">
        <x:v>EASTERN OHIO HOLDING COMPANY, INC.</x:v>
      </x:c>
      <x:c r="F31" s="303" t="str">
        <x:v>survivor</x:v>
      </x:c>
      <x:c r="G31" s="303" t="str">
        <x:v>OH:855092</x:v>
      </x:c>
      <x:c r="H31" s="315" t="str">
        <x:v>5422_1190</x:v>
      </x:c>
      <x:c r="I31" s="303" t="str">
        <x:v>primary_image_confirmed</x:v>
      </x:c>
      <x:c r="J31" s="312" t="n">
        <x:v>35062.5</x:v>
      </x:c>
      <x:c r="K31" s="303" t="str">
        <x:v>Search Eastern Ohio from 1995-12-29 forward; distinguish later entity-history filings from asset-specific New Albany conveyances and title assertions.</x:v>
      </x:c>
      <x:c r="L31" s="303" t="str">
        <x:v>8</x:v>
      </x:c>
      <x:c r="M31" s="303" t="str">
        <x:v>OH-SOS:855092:5422_1190:p8</x:v>
      </x:c>
      <x:c r="N31" s="303" t="str">
        <x:v>primary_certificate_confirmed</x:v>
      </x:c>
      <x:c r="O31" s="303" t="str">
        <x:v>The certificate expressly labels Eastern Ohio the surviving domestic Ohio corporation. The name-change field is blank.</x:v>
      </x:c>
    </x:row>
    <x:row r="32" ht="66" customHeight="1">
      <x:c r="A32" s="303" t="str">
        <x:v>OH-MERGER-1995-12-29-855092</x:v>
      </x:c>
      <x:c r="B32" s="309" t="n">
        <x:v>1</x:v>
      </x:c>
      <x:c r="C32" s="303" t="str">
        <x:v>OH:724612</x:v>
      </x:c>
      <x:c r="D32" s="303" t="str">
        <x:v>724612</x:v>
      </x:c>
      <x:c r="E32" s="303" t="str">
        <x:v>BLUFFTON HOLDING CORPORATION</x:v>
      </x:c>
      <x:c r="F32" s="303" t="str">
        <x:v>predecessor</x:v>
      </x:c>
      <x:c r="G32" s="303" t="str">
        <x:v>OH:855092</x:v>
      </x:c>
      <x:c r="H32" s="315" t="str">
        <x:v>5422_1200</x:v>
      </x:c>
      <x:c r="I32" s="303" t="str">
        <x:v>primary_image_confirmed</x:v>
      </x:c>
      <x:c r="J32" s="312" t="n">
        <x:v>35062.5</x:v>
      </x:c>
      <x:c r="K32" s="303" t="str">
        <x:v>Search Bluffton through 1995-12-29 and Eastern Ohio after that date; search deeds under both names for asset-specific successor recitals.</x:v>
      </x:c>
      <x:c r="L32" s="303" t="str">
        <x:v>1; status packet 1-3</x:v>
      </x:c>
      <x:c r="M32" s="303" t="str">
        <x:v>OH-SOS:855092:5422_1190:p1;OH-SOS:724612:5422_1200</x:v>
      </x:c>
      <x:c r="N32" s="303" t="str">
        <x:v>primary_certificate_confirmed</x:v>
      </x:c>
      <x:c r="O32" s="303" t="str">
        <x:v>The substantive certificate lists Bluffton among entities other than the survivor; its separate MEX packet confirms terminal status.</x:v>
      </x:c>
    </x:row>
    <x:row r="33" ht="66" customHeight="1">
      <x:c r="A33" s="303" t="str">
        <x:v>OH-MERGER-1995-12-29-855092</x:v>
      </x:c>
      <x:c r="B33" s="309" t="n">
        <x:v>2</x:v>
      </x:c>
      <x:c r="C33" s="303" t="str">
        <x:v>OH:749169</x:v>
      </x:c>
      <x:c r="D33" s="303" t="str">
        <x:v>749169</x:v>
      </x:c>
      <x:c r="E33" s="303" t="str">
        <x:v>NEW ALBANY CARDINAL ASSOCIATES, INC.</x:v>
      </x:c>
      <x:c r="F33" s="303" t="str">
        <x:v>predecessor</x:v>
      </x:c>
      <x:c r="G33" s="303" t="str">
        <x:v>OH:855092</x:v>
      </x:c>
      <x:c r="H33" s="315" t="str">
        <x:v>5422_1201</x:v>
      </x:c>
      <x:c r="I33" s="303" t="str">
        <x:v>primary_image_confirmed</x:v>
      </x:c>
      <x:c r="J33" s="312" t="n">
        <x:v>35062.5</x:v>
      </x:c>
      <x:c r="K33" s="303" t="str">
        <x:v>Search New Albany Cardinal through 1995-12-29 and Eastern Ohio after that date; do not confuse the predecessor with the processing-return recipient New Albany Company.</x:v>
      </x:c>
      <x:c r="L33" s="303" t="str">
        <x:v>1; status packet 1-3</x:v>
      </x:c>
      <x:c r="M33" s="303" t="str">
        <x:v>OH-SOS:855092:5422_1190:p1;OH-SOS:749169:5422_1201</x:v>
      </x:c>
      <x:c r="N33" s="303" t="str">
        <x:v>primary_certificate_confirmed</x:v>
      </x:c>
      <x:c r="O33" s="303" t="str">
        <x:v>The substantive certificate lists New Albany Cardinal among entities other than the survivor; its separate MEX packet confirms terminal status.</x:v>
      </x:c>
    </x:row>
    <x:row r="34" ht="66" customHeight="1">
      <x:c r="A34" s="303" t="str">
        <x:v>OH-MERGER-1995-12-29-855092</x:v>
      </x:c>
      <x:c r="B34" s="309" t="n">
        <x:v>3</x:v>
      </x:c>
      <x:c r="C34" s="303" t="str">
        <x:v>OH:724621</x:v>
      </x:c>
      <x:c r="D34" s="303" t="str">
        <x:v>724621</x:v>
      </x:c>
      <x:c r="E34" s="303" t="str">
        <x:v>UNION HOLDING CORPORATION</x:v>
      </x:c>
      <x:c r="F34" s="303" t="str">
        <x:v>predecessor</x:v>
      </x:c>
      <x:c r="G34" s="303" t="str">
        <x:v>OH:855092</x:v>
      </x:c>
      <x:c r="H34" s="315" t="str">
        <x:v>5422_1206</x:v>
      </x:c>
      <x:c r="I34" s="303" t="str">
        <x:v>primary_image_confirmed</x:v>
      </x:c>
      <x:c r="J34" s="312" t="n">
        <x:v>35062.5</x:v>
      </x:c>
      <x:c r="K34" s="303" t="str">
        <x:v>Search Union through 1995-12-29 and Eastern Ohio after that date; search deeds under both names for asset-specific successor recitals.</x:v>
      </x:c>
      <x:c r="L34" s="303" t="str">
        <x:v>1; status packet 1-3</x:v>
      </x:c>
      <x:c r="M34" s="303" t="str">
        <x:v>OH-SOS:855092:5422_1190:p1;OH-SOS:724621:5422_1206</x:v>
      </x:c>
      <x:c r="N34" s="303" t="str">
        <x:v>primary_certificate_confirmed</x:v>
      </x:c>
      <x:c r="O34" s="303" t="str">
        <x:v>The substantive certificate lists Union among entities other than the survivor; its separate MEX packet confirms terminal status.</x:v>
      </x:c>
    </x:row>
    <x:row r="35" ht="66" customHeight="1">
      <x:c r="A35" s="303" t="str">
        <x:v>OH-MERGER-1995-12-29-855092</x:v>
      </x:c>
      <x:c r="B35" s="309" t="n">
        <x:v>4</x:v>
      </x:c>
      <x:c r="C35" s="303" t="str">
        <x:v>OH:714670</x:v>
      </x:c>
      <x:c r="D35" s="303" t="str">
        <x:v>714670</x:v>
      </x:c>
      <x:c r="E35" s="303" t="str">
        <x:v>BLUEBERRY RIDGE PROPERTIES, INC.</x:v>
      </x:c>
      <x:c r="F35" s="303" t="str">
        <x:v>predecessor</x:v>
      </x:c>
      <x:c r="G35" s="303" t="str">
        <x:v>OH:855092</x:v>
      </x:c>
      <x:c r="H35" s="315" t="str">
        <x:v>5422_1209</x:v>
      </x:c>
      <x:c r="I35" s="303" t="str">
        <x:v>primary_image_confirmed</x:v>
      </x:c>
      <x:c r="J35" s="312" t="n">
        <x:v>35062.5</x:v>
      </x:c>
      <x:c r="K35" s="303" t="str">
        <x:v>Search Blueberry Ridge through 1995-12-29 and Eastern Ohio after that date; search deeds under both names for asset-specific successor recitals.</x:v>
      </x:c>
      <x:c r="L35" s="303" t="str">
        <x:v>1; status packet 1-3</x:v>
      </x:c>
      <x:c r="M35" s="303" t="str">
        <x:v>OH-SOS:855092:5422_1190:p1;OH-SOS:714670:5422_1209</x:v>
      </x:c>
      <x:c r="N35" s="303" t="str">
        <x:v>primary_certificate_confirmed</x:v>
      </x:c>
      <x:c r="O35" s="303" t="str">
        <x:v>The substantive certificate lists Blueberry Ridge among entities other than the survivor; its separate MEX packet confirms terminal status.</x:v>
      </x:c>
    </x:row>
    <x:row r="36" ht="66" customHeight="1">
      <x:c r="A36" s="303" t="str">
        <x:v>OH-MERGER-1995-12-29-855092</x:v>
      </x:c>
      <x:c r="B36" s="309" t="n">
        <x:v>5</x:v>
      </x:c>
      <x:c r="C36" s="303" t="str">
        <x:v>OH:719945</x:v>
      </x:c>
      <x:c r="D36" s="303" t="str">
        <x:v>719945</x:v>
      </x:c>
      <x:c r="E36" s="303" t="str">
        <x:v>TUDOR PROPERTIES, INC.</x:v>
      </x:c>
      <x:c r="F36" s="303" t="str">
        <x:v>predecessor</x:v>
      </x:c>
      <x:c r="G36" s="303" t="str">
        <x:v>OH:855092</x:v>
      </x:c>
      <x:c r="H36" s="315" t="str">
        <x:v>5422_1212</x:v>
      </x:c>
      <x:c r="I36" s="303" t="str">
        <x:v>primary_image_confirmed</x:v>
      </x:c>
      <x:c r="J36" s="312" t="n">
        <x:v>35062.5</x:v>
      </x:c>
      <x:c r="K36" s="303" t="str">
        <x:v>Search Tudor through 1995-12-29 and Eastern Ohio after that date; search deeds under both names for asset-specific successor recitals.</x:v>
      </x:c>
      <x:c r="L36" s="303" t="str">
        <x:v>1; status packet 1-3</x:v>
      </x:c>
      <x:c r="M36" s="303" t="str">
        <x:v>OH-SOS:855092:5422_1190:p1;OH-SOS:719945:5422_1212</x:v>
      </x:c>
      <x:c r="N36" s="303" t="str">
        <x:v>primary_certificate_confirmed</x:v>
      </x:c>
      <x:c r="O36" s="303" t="str">
        <x:v>The substantive certificate lists Tudor among entities other than the survivor; its separate MEX packet confirms terminal status.</x:v>
      </x:c>
    </x:row>
    <x:row r="37" ht="66" customHeight="1">
      <x:c r="A37" s="303" t="str">
        <x:v>OH-MERGER-1995-12-29-855092</x:v>
      </x:c>
      <x:c r="B37" s="309" t="n">
        <x:v>6</x:v>
      </x:c>
      <x:c r="C37" s="303" t="str">
        <x:v>OH:714673</x:v>
      </x:c>
      <x:c r="D37" s="303" t="str">
        <x:v>714673</x:v>
      </x:c>
      <x:c r="E37" s="303" t="str">
        <x:v>CEDAR CANYON PROPERTIES, INC.</x:v>
      </x:c>
      <x:c r="F37" s="303" t="str">
        <x:v>predecessor</x:v>
      </x:c>
      <x:c r="G37" s="303" t="str">
        <x:v>OH:855092</x:v>
      </x:c>
      <x:c r="H37" s="315" t="str">
        <x:v>5422_1215</x:v>
      </x:c>
      <x:c r="I37" s="303" t="str">
        <x:v>primary_image_confirmed</x:v>
      </x:c>
      <x:c r="J37" s="312" t="n">
        <x:v>35062.5</x:v>
      </x:c>
      <x:c r="K37" s="303" t="str">
        <x:v>Search Cedar Canyon through 1995-12-29 and Eastern Ohio after that date; search deeds under both names for asset-specific successor recitals.</x:v>
      </x:c>
      <x:c r="L37" s="303" t="str">
        <x:v>2; status packet 1-3</x:v>
      </x:c>
      <x:c r="M37" s="303" t="str">
        <x:v>OH-SOS:855092:5422_1190:p2;OH-SOS:714673:5422_1215</x:v>
      </x:c>
      <x:c r="N37" s="303" t="str">
        <x:v>primary_certificate_confirmed</x:v>
      </x:c>
      <x:c r="O37" s="303" t="str">
        <x:v>The substantive certificate lists Cedar Canyon among entities other than the survivor; its separate MEX packet confirms terminal status.</x:v>
      </x:c>
    </x:row>
    <x:row r="38" ht="66" customHeight="1">
      <x:c r="A38" s="303" t="str">
        <x:v>OH-MERGER-1995-12-29-855092</x:v>
      </x:c>
      <x:c r="B38" s="309" t="n">
        <x:v>7</x:v>
      </x:c>
      <x:c r="C38" s="303" t="str">
        <x:v>OH:712296</x:v>
      </x:c>
      <x:c r="D38" s="303" t="str">
        <x:v>712296</x:v>
      </x:c>
      <x:c r="E38" s="303" t="str">
        <x:v>MORSHAM LAND CORPORATION</x:v>
      </x:c>
      <x:c r="F38" s="303" t="str">
        <x:v>predecessor</x:v>
      </x:c>
      <x:c r="G38" s="303" t="str">
        <x:v>OH:855092</x:v>
      </x:c>
      <x:c r="H38" s="315" t="str">
        <x:v>5422_1216</x:v>
      </x:c>
      <x:c r="I38" s="303" t="str">
        <x:v>primary_image_confirmed</x:v>
      </x:c>
      <x:c r="J38" s="312" t="n">
        <x:v>35062.5</x:v>
      </x:c>
      <x:c r="K38" s="303" t="str">
        <x:v>Search Morsham through 1995-12-29 and Eastern Ohio after that date; preserve later New Albany LLC assertions as title/asset succession unless a separate statutory filing proves more.</x:v>
      </x:c>
      <x:c r="L38" s="303" t="str">
        <x:v>2; status packet 1-3</x:v>
      </x:c>
      <x:c r="M38" s="303" t="str">
        <x:v>OH-SOS:855092:5422_1190:p2;OH-SOS:712296:5422_1216</x:v>
      </x:c>
      <x:c r="N38" s="303" t="str">
        <x:v>primary_certificate_confirmed</x:v>
      </x:c>
      <x:c r="O38" s="303" t="str">
        <x:v>The substantive certificate supplies the survivor missing from the Morsham MEX packet. Franklin deeds later corroborate Eastern Ohio as successor by merger.</x:v>
      </x:c>
    </x:row>
    <x:row r="39" ht="66" customHeight="1">
      <x:c r="A39" s="303" t="str">
        <x:v>OH-MERGER-1995-12-29-855092</x:v>
      </x:c>
      <x:c r="B39" s="309" t="n">
        <x:v>8</x:v>
      </x:c>
      <x:c r="C39" s="303" t="str">
        <x:v>OH:713613</x:v>
      </x:c>
      <x:c r="D39" s="303" t="str">
        <x:v>713613</x:v>
      </x:c>
      <x:c r="E39" s="303" t="str">
        <x:v>BLACKSHEEP FARMS, INC.</x:v>
      </x:c>
      <x:c r="F39" s="303" t="str">
        <x:v>predecessor</x:v>
      </x:c>
      <x:c r="G39" s="303" t="str">
        <x:v>OH:855092</x:v>
      </x:c>
      <x:c r="H39" s="315" t="str">
        <x:v>5422_1221</x:v>
      </x:c>
      <x:c r="I39" s="303" t="str">
        <x:v>primary_image_confirmed</x:v>
      </x:c>
      <x:c r="J39" s="312" t="n">
        <x:v>35062.5</x:v>
      </x:c>
      <x:c r="K39" s="303" t="str">
        <x:v>Search Blacksheep through 1995-12-29 and Eastern Ohio after that date; also inspect later Black Sheep spelling variants in property instruments.</x:v>
      </x:c>
      <x:c r="L39" s="303" t="str">
        <x:v>2; status packet 1-3</x:v>
      </x:c>
      <x:c r="M39" s="303" t="str">
        <x:v>OH-SOS:855092:5422_1190:p2;OH-SOS:713613:5422_1221</x:v>
      </x:c>
      <x:c r="N39" s="303" t="str">
        <x:v>primary_certificate_confirmed</x:v>
      </x:c>
      <x:c r="O39" s="303" t="str">
        <x:v>Exact certificate spelling is Blacksheep. The substantive certificate lists it among entities other than the survivor; its separate MEX packet confirms terminal status.</x:v>
      </x:c>
    </x:row>
    <x:row r="40" ht="66" customHeight="1">
      <x:c r="A40" s="303" t="str">
        <x:v>OH-MERGER-1990-12-28-706250</x:v>
      </x:c>
      <x:c r="B40" s="309" t="n">
        <x:v>0</x:v>
      </x:c>
      <x:c r="C40" s="303" t="str">
        <x:v>OH:706250</x:v>
      </x:c>
      <x:c r="D40" s="303" t="str">
        <x:v>706250</x:v>
      </x:c>
      <x:c r="E40" s="303" t="str">
        <x:v>AUTUMN ACRES, INC.</x:v>
      </x:c>
      <x:c r="F40" s="303" t="str">
        <x:v>survivor</x:v>
      </x:c>
      <x:c r="G40" s="303" t="str">
        <x:v>OH:706250</x:v>
      </x:c>
      <x:c r="H40" s="315" t="str">
        <x:v>H052_1482</x:v>
      </x:c>
      <x:c r="I40" s="303" t="str">
        <x:v>primary_image_confirmed</x:v>
      </x:c>
      <x:c r="J40" s="312" t="n">
        <x:v>33235.5</x:v>
      </x:c>
      <x:c r="K40" s="303" t="str">
        <x:v>Search Autumn Acres from 1990-12-28 through its separate 1990-12-29 dissolution; obtain that unavailable dissolution image or other asset-disposition evidence before extending the chain.</x:v>
      </x:c>
      <x:c r="L40" s="303" t="str">
        <x:v>3-6</x:v>
      </x:c>
      <x:c r="M40" s="303" t="str">
        <x:v>OH-SOS:706250:H052_1482</x:v>
      </x:c>
      <x:c r="N40" s="303" t="str">
        <x:v>primary_agreement_confirmed</x:v>
      </x:c>
      <x:c r="O40" s="303" t="str">
        <x:v>Snow signed as secretary and Rubenstein as vice president. The merger packet names no parcel, shareholder, Epstein, or Wexner.</x:v>
      </x:c>
    </x:row>
    <x:row r="41" ht="66" customHeight="1">
      <x:c r="A41" s="303" t="str">
        <x:v>OH-MERGER-1990-12-28-706250</x:v>
      </x:c>
      <x:c r="B41" s="309" t="n">
        <x:v>1</x:v>
      </x:c>
      <x:c r="C41" s="303" t="str">
        <x:v>OH:714676</x:v>
      </x:c>
      <x:c r="D41" s="303" t="str">
        <x:v>714676</x:v>
      </x:c>
      <x:c r="E41" s="303" t="str">
        <x:v>DEERFIELD MEADOWS, INC.</x:v>
      </x:c>
      <x:c r="F41" s="303" t="str">
        <x:v>predecessor</x:v>
      </x:c>
      <x:c r="G41" s="303" t="str">
        <x:v>OH:706250</x:v>
      </x:c>
      <x:c r="H41" s="315" t="str">
        <x:v>H052_1489</x:v>
      </x:c>
      <x:c r="I41" s="303" t="str">
        <x:v>primary_image_confirmed</x:v>
      </x:c>
      <x:c r="J41" s="312" t="n">
        <x:v>33235.5</x:v>
      </x:c>
      <x:c r="K41" s="303" t="str">
        <x:v>Search this predecessor through 1990-12-28; search Autumn Acres from that date through its next-day dissolution.</x:v>
      </x:c>
      <x:c r="L41" s="303" t="str">
        <x:v>3-6</x:v>
      </x:c>
      <x:c r="M41" s="303" t="str">
        <x:v>OH-SOS:706250:H052_1482;OH-SOS:714676:H052_1489</x:v>
      </x:c>
      <x:c r="N41" s="303" t="str">
        <x:v>primary_agreement_confirmed</x:v>
      </x:c>
      <x:c r="O41" s="303" t="str">
        <x:v>The exact-charter MEX packet omits the survivor; the substantive agreement names Autumn. The sole shareholder is unnamed.</x:v>
      </x:c>
    </x:row>
    <x:row r="42" ht="66" customHeight="1">
      <x:c r="A42" s="303" t="str">
        <x:v>OH-MERGER-1990-12-28-706250</x:v>
      </x:c>
      <x:c r="B42" s="309" t="n">
        <x:v>2</x:v>
      </x:c>
      <x:c r="C42" s="303" t="str">
        <x:v>OH:724617</x:v>
      </x:c>
      <x:c r="D42" s="303" t="str">
        <x:v>724617</x:v>
      </x:c>
      <x:c r="E42" s="303" t="str">
        <x:v>LANDES MANAGEMENT CORPORATION</x:v>
      </x:c>
      <x:c r="F42" s="303" t="str">
        <x:v>predecessor</x:v>
      </x:c>
      <x:c r="G42" s="303" t="str">
        <x:v>OH:706250</x:v>
      </x:c>
      <x:c r="H42" s="315" t="str">
        <x:v>H052_1492</x:v>
      </x:c>
      <x:c r="I42" s="303" t="str">
        <x:v>primary_image_confirmed</x:v>
      </x:c>
      <x:c r="J42" s="312" t="n">
        <x:v>33235.5</x:v>
      </x:c>
      <x:c r="K42" s="303" t="str">
        <x:v>Search this predecessor through 1990-12-28; search Autumn Acres from that date through its next-day dissolution.</x:v>
      </x:c>
      <x:c r="L42" s="303" t="str">
        <x:v>3-6</x:v>
      </x:c>
      <x:c r="M42" s="303" t="str">
        <x:v>OH-SOS:706250:H052_1482;OH-SOS:724617:H052_1492</x:v>
      </x:c>
      <x:c r="N42" s="303" t="str">
        <x:v>primary_agreement_confirmed</x:v>
      </x:c>
      <x:c r="O42" s="303" t="str">
        <x:v>The exact-charter MEX packet omits the survivor; the substantive agreement names Autumn. The sole shareholder is unnamed.</x:v>
      </x:c>
    </x:row>
    <x:row r="43" ht="66" customHeight="1">
      <x:c r="A43" s="303" t="str">
        <x:v>OH-MERGER-1990-12-28-706250</x:v>
      </x:c>
      <x:c r="B43" s="309" t="n">
        <x:v>3</x:v>
      </x:c>
      <x:c r="C43" s="303" t="str">
        <x:v>OH:724618</x:v>
      </x:c>
      <x:c r="D43" s="303" t="str">
        <x:v>724618</x:v>
      </x:c>
      <x:c r="E43" s="303" t="str">
        <x:v>MAYCOR INCORPORATED</x:v>
      </x:c>
      <x:c r="F43" s="303" t="str">
        <x:v>predecessor</x:v>
      </x:c>
      <x:c r="G43" s="303" t="str">
        <x:v>OH:706250</x:v>
      </x:c>
      <x:c r="H43" s="315" t="str">
        <x:v>H052_1495</x:v>
      </x:c>
      <x:c r="I43" s="303" t="str">
        <x:v>primary_image_confirmed</x:v>
      </x:c>
      <x:c r="J43" s="312" t="n">
        <x:v>33235.5</x:v>
      </x:c>
      <x:c r="K43" s="303" t="str">
        <x:v>Search this predecessor through 1990-12-28; search Autumn Acres from that date through its next-day dissolution.</x:v>
      </x:c>
      <x:c r="L43" s="303" t="str">
        <x:v>3-6</x:v>
      </x:c>
      <x:c r="M43" s="303" t="str">
        <x:v>OH-SOS:706250:H052_1482;OH-SOS:724618:H052_1495</x:v>
      </x:c>
      <x:c r="N43" s="303" t="str">
        <x:v>primary_agreement_confirmed</x:v>
      </x:c>
      <x:c r="O43" s="303" t="str">
        <x:v>The exact-charter MEX packet omits the survivor; the substantive agreement names Autumn. The sole shareholder is unnamed.</x:v>
      </x:c>
    </x:row>
    <x:row r="44" ht="66" customHeight="1">
      <x:c r="A44" s="303" t="str">
        <x:v>OH-MERGER-1990-12-28-706250</x:v>
      </x:c>
      <x:c r="B44" s="309" t="n">
        <x:v>4</x:v>
      </x:c>
      <x:c r="C44" s="303" t="str">
        <x:v>OH:698295</x:v>
      </x:c>
      <x:c r="D44" s="303" t="str">
        <x:v>698295</x:v>
      </x:c>
      <x:c r="E44" s="303" t="str">
        <x:v>NEW ALBANY 74, INC.</x:v>
      </x:c>
      <x:c r="F44" s="303" t="str">
        <x:v>predecessor</x:v>
      </x:c>
      <x:c r="G44" s="303" t="str">
        <x:v>OH:706250</x:v>
      </x:c>
      <x:c r="H44" s="315" t="str">
        <x:v>H052_1498</x:v>
      </x:c>
      <x:c r="I44" s="303" t="str">
        <x:v>primary_image_confirmed</x:v>
      </x:c>
      <x:c r="J44" s="312" t="n">
        <x:v>33235.5</x:v>
      </x:c>
      <x:c r="K44" s="303" t="str">
        <x:v>Search former name New Albany 84 before 1987-04-16, New Albany 74 through 1990-12-28, and Autumn Acres after the merger.</x:v>
      </x:c>
      <x:c r="L44" s="303" t="str">
        <x:v>3-6</x:v>
      </x:c>
      <x:c r="M44" s="303" t="str">
        <x:v>OH-SOS:706250:H052_1482;OH-SOS:698295:H052_1498</x:v>
      </x:c>
      <x:c r="N44" s="303" t="str">
        <x:v>primary_agreement_confirmed</x:v>
      </x:c>
      <x:c r="O44" s="303" t="str">
        <x:v>New Albany 84 and New Albany 74 are one charter. The exact-charter MEX packet omits the survivor; the sole shareholder is unnamed.</x:v>
      </x:c>
    </x:row>
    <x:row r="45" ht="66" customHeight="1">
      <x:c r="A45" s="303" t="str">
        <x:v>OH-MERGER-1990-12-28-706250</x:v>
      </x:c>
      <x:c r="B45" s="309" t="n">
        <x:v>5</x:v>
      </x:c>
      <x:c r="C45" s="303" t="str">
        <x:v>OH:698296</x:v>
      </x:c>
      <x:c r="D45" s="303" t="str">
        <x:v>698296</x:v>
      </x:c>
      <x:c r="E45" s="303" t="str">
        <x:v>129 ASSOCIATES, INC.</x:v>
      </x:c>
      <x:c r="F45" s="303" t="str">
        <x:v>predecessor</x:v>
      </x:c>
      <x:c r="G45" s="303" t="str">
        <x:v>OH:706250</x:v>
      </x:c>
      <x:c r="H45" s="315" t="str">
        <x:v>H052_1501</x:v>
      </x:c>
      <x:c r="I45" s="303" t="str">
        <x:v>primary_image_confirmed</x:v>
      </x:c>
      <x:c r="J45" s="312" t="n">
        <x:v>33235.5</x:v>
      </x:c>
      <x:c r="K45" s="303" t="str">
        <x:v>Search this predecessor through 1990-12-28; search Autumn Acres from that date through its next-day dissolution.</x:v>
      </x:c>
      <x:c r="L45" s="303" t="str">
        <x:v>3-6</x:v>
      </x:c>
      <x:c r="M45" s="303" t="str">
        <x:v>OH-SOS:706250:H052_1482;OH-SOS:698296:H052_1501</x:v>
      </x:c>
      <x:c r="N45" s="303" t="str">
        <x:v>primary_agreement_confirmed</x:v>
      </x:c>
      <x:c r="O45" s="303" t="str">
        <x:v>The exact-charter MEX packet omits the survivor; the substantive agreement names Autumn. The sole shareholder is unnamed.</x:v>
      </x:c>
    </x:row>
    <x:row r="46" ht="66" customHeight="1">
      <x:c r="A46" s="303" t="str">
        <x:v>OH-MERGER-1990-12-28-706250</x:v>
      </x:c>
      <x:c r="B46" s="309" t="n">
        <x:v>6</x:v>
      </x:c>
      <x:c r="C46" s="303" t="str">
        <x:v>OH:714669</x:v>
      </x:c>
      <x:c r="D46" s="303" t="str">
        <x:v>714669</x:v>
      </x:c>
      <x:c r="E46" s="303" t="str">
        <x:v>ROCKYRIDGE DEVELOPMENT CORP.</x:v>
      </x:c>
      <x:c r="F46" s="303" t="str">
        <x:v>predecessor</x:v>
      </x:c>
      <x:c r="G46" s="303" t="str">
        <x:v>OH:706250</x:v>
      </x:c>
      <x:c r="H46" s="315" t="str">
        <x:v>H052_1504</x:v>
      </x:c>
      <x:c r="I46" s="303" t="str">
        <x:v>primary_image_confirmed</x:v>
      </x:c>
      <x:c r="J46" s="312" t="n">
        <x:v>33235.5</x:v>
      </x:c>
      <x:c r="K46" s="303" t="str">
        <x:v>Search this predecessor through 1990-12-28; search Autumn Acres from that date through its next-day dissolution.</x:v>
      </x:c>
      <x:c r="L46" s="303" t="str">
        <x:v>3-6</x:v>
      </x:c>
      <x:c r="M46" s="303" t="str">
        <x:v>OH-SOS:706250:H052_1482;OH-SOS:714669:H052_1504</x:v>
      </x:c>
      <x:c r="N46" s="303" t="str">
        <x:v>primary_agreement_confirmed</x:v>
      </x:c>
      <x:c r="O46" s="303" t="str">
        <x:v>The exact-charter MEX packet omits the survivor; the substantive agreement names Autumn. The sole shareholder is unnamed.</x:v>
      </x:c>
    </x:row>
    <x:row r="47" ht="66" customHeight="1">
      <x:c r="A47" s="303" t="str">
        <x:v>OH-MERGER-1990-12-28-706250</x:v>
      </x:c>
      <x:c r="B47" s="309" t="n">
        <x:v>7</x:v>
      </x:c>
      <x:c r="C47" s="303" t="str">
        <x:v>OH:714671</x:v>
      </x:c>
      <x:c r="D47" s="303" t="str">
        <x:v>714671</x:v>
      </x:c>
      <x:c r="E47" s="303" t="str">
        <x:v>TUMBLEWEED ESTATES, INC.</x:v>
      </x:c>
      <x:c r="F47" s="303" t="str">
        <x:v>predecessor</x:v>
      </x:c>
      <x:c r="G47" s="303" t="str">
        <x:v>OH:706250</x:v>
      </x:c>
      <x:c r="H47" s="315" t="str">
        <x:v>H052_1507</x:v>
      </x:c>
      <x:c r="I47" s="303" t="str">
        <x:v>primary_image_confirmed</x:v>
      </x:c>
      <x:c r="J47" s="312" t="n">
        <x:v>33235.5</x:v>
      </x:c>
      <x:c r="K47" s="303" t="str">
        <x:v>Search this predecessor through 1990-12-28; search Autumn Acres from that date through its next-day dissolution.</x:v>
      </x:c>
      <x:c r="L47" s="303" t="str">
        <x:v>3-6</x:v>
      </x:c>
      <x:c r="M47" s="303" t="str">
        <x:v>OH-SOS:706250:H052_1482;OH-SOS:714671:H052_1507</x:v>
      </x:c>
      <x:c r="N47" s="303" t="str">
        <x:v>primary_agreement_confirmed</x:v>
      </x:c>
      <x:c r="O47" s="303" t="str">
        <x:v>The exact-charter MEX packet omits the survivor; the substantive agreement names Autumn. The sole shareholder is unnamed.</x:v>
      </x:c>
    </x:row>
    <x:row r="48" ht="66" customHeight="1">
      <x:c r="A48" s="303" t="str">
        <x:v>OH-MERGER-1987-12-31-706978</x:v>
      </x:c>
      <x:c r="B48" s="309" t="n">
        <x:v>0</x:v>
      </x:c>
      <x:c r="C48" s="303" t="str">
        <x:v>OH:706978</x:v>
      </x:c>
      <x:c r="D48" s="303" t="str">
        <x:v>706978</x:v>
      </x:c>
      <x:c r="E48" s="303" t="str">
        <x:v>ROCKY FORK DEVELOPMENT CORPORATION</x:v>
      </x:c>
      <x:c r="F48" s="303" t="str">
        <x:v>survivor</x:v>
      </x:c>
      <x:c r="G48" s="303" t="str">
        <x:v>OH:706978</x:v>
      </x:c>
      <x:c r="H48" s="315" t="str">
        <x:v>G313_0688</x:v>
      </x:c>
      <x:c r="I48" s="303" t="str">
        <x:v>primary_image_confirmed</x:v>
      </x:c>
      <x:c r="J48" s="312" t="n">
        <x:v>32142.5</x:v>
      </x:c>
      <x:c r="K48" s="303" t="str">
        <x:v>Search Rocky Fork from 1987-12-31 through its 1992 dissolution; then inspect asset-distribution and conveyance records.</x:v>
      </x:c>
      <x:c r="L48" s="303" t="str">
        <x:v>3-6</x:v>
      </x:c>
      <x:c r="M48" s="303" t="str">
        <x:v>OH-SOS:706978:G313_0688</x:v>
      </x:c>
      <x:c r="N48" s="303" t="str">
        <x:v>primary_agreement_confirmed</x:v>
      </x:c>
      <x:c r="O48" s="303" t="str">
        <x:v>Harold L. Levin signed as president and Richard W. Rubenstein as secretary; Epstein and Wexner do not appear in this 1987 packet but do appear in Rocky Fork's 1992 dissolution.</x:v>
      </x:c>
    </x:row>
    <x:row r="49" ht="66" customHeight="1">
      <x:c r="A49" s="303" t="str">
        <x:v>OH-MERGER-1987-12-31-706978</x:v>
      </x:c>
      <x:c r="B49" s="309" t="n">
        <x:v>1</x:v>
      </x:c>
      <x:c r="C49" s="303" t="str">
        <x:v>OH:689665</x:v>
      </x:c>
      <x:c r="D49" s="303" t="str">
        <x:v>689665</x:v>
      </x:c>
      <x:c r="E49" s="303" t="str">
        <x:v>BEARCE HOLLOW, INC.</x:v>
      </x:c>
      <x:c r="F49" s="303" t="str">
        <x:v>predecessor</x:v>
      </x:c>
      <x:c r="G49" s="303" t="str">
        <x:v>OH:706978</x:v>
      </x:c>
      <x:c r="H49" s="315" t="str">
        <x:v>G313_0695</x:v>
      </x:c>
      <x:c r="I49" s="303" t="str">
        <x:v>primary_image_confirmed</x:v>
      </x:c>
      <x:c r="J49" s="312" t="n">
        <x:v>32142.5</x:v>
      </x:c>
      <x:c r="K49" s="303" t="str">
        <x:v>Search Bearce Hollow through 1987-12-31; search Rocky Fork from that date through its 1992 dissolution.</x:v>
      </x:c>
      <x:c r="L49" s="303" t="str">
        <x:v>3-6</x:v>
      </x:c>
      <x:c r="M49" s="303" t="str">
        <x:v>OH-SOS:706978:G313_0688;OH-SOS:689665:G313_0695</x:v>
      </x:c>
      <x:c r="N49" s="303" t="str">
        <x:v>primary_agreement_confirmed</x:v>
      </x:c>
      <x:c r="O49" s="303" t="str">
        <x:v>All 21 pages of the exact formation, agent, MEX, and reciprocal merger packets were visually reviewed. Bearce's sole shareholder is unnamed; no parcel is identified.</x:v>
      </x:c>
    </x:row>
    <x:row r="50" ht="66" customHeight="1">
      <x:c r="A50" s="303" t="str">
        <x:v>OH-MERGER-1989-12-22-689908</x:v>
      </x:c>
      <x:c r="B50" s="309" t="n">
        <x:v>0</x:v>
      </x:c>
      <x:c r="C50" s="303" t="str">
        <x:v>OH:689908</x:v>
      </x:c>
      <x:c r="D50" s="303" t="str">
        <x:v>689908</x:v>
      </x:c>
      <x:c r="E50" s="303" t="str">
        <x:v>EASTSIDE INDUSTRIAL, INC.</x:v>
      </x:c>
      <x:c r="F50" s="303" t="str">
        <x:v>survivor</x:v>
      </x:c>
      <x:c r="G50" s="303" t="str">
        <x:v>OH:689908</x:v>
      </x:c>
      <x:c r="H50" s="315" t="str">
        <x:v>G769_0688</x:v>
      </x:c>
      <x:c r="I50" s="303" t="str">
        <x:v>primary_image_confirmed</x:v>
      </x:c>
      <x:c r="J50" s="312" t="n">
        <x:v>32864.5</x:v>
      </x:c>
      <x:c r="K50" s="303" t="str">
        <x:v>Search Eastside from 1989-12-22 through its 1989-12-29 dissolution and during statutory wind-up; inspect deeds by officers or any later-identified shareholder.</x:v>
      </x:c>
      <x:c r="L50" s="303" t="str">
        <x:v>4-7</x:v>
      </x:c>
      <x:c r="M50" s="303" t="str">
        <x:v>OH-SOS:689908:G769_0688</x:v>
      </x:c>
      <x:c r="N50" s="303" t="str">
        <x:v>primary_agreement_confirmed</x:v>
      </x:c>
      <x:c r="O50" s="303" t="str">
        <x:v>Harold L. Levin signed as president and Stanley Schwartz Jr. as secretary. Eastside's separate dissolution one week later names an unnamed sole shareholder and no asset recipient.</x:v>
      </x:c>
    </x:row>
    <x:row r="51" ht="66" customHeight="1">
      <x:c r="A51" s="303" t="str">
        <x:v>OH-MERGER-1989-12-22-689908</x:v>
      </x:c>
      <x:c r="B51" s="309" t="n">
        <x:v>1</x:v>
      </x:c>
      <x:c r="C51" s="303" t="str">
        <x:v>OH:689907</x:v>
      </x:c>
      <x:c r="D51" s="303" t="str">
        <x:v>689907</x:v>
      </x:c>
      <x:c r="E51" s="303" t="str">
        <x:v>GREAT EASTERN FASTENING CORP.</x:v>
      </x:c>
      <x:c r="F51" s="303" t="str">
        <x:v>predecessor</x:v>
      </x:c>
      <x:c r="G51" s="303" t="str">
        <x:v>OH:689908</x:v>
      </x:c>
      <x:c r="H51" s="315" t="str">
        <x:v>G769_0695</x:v>
      </x:c>
      <x:c r="I51" s="303" t="str">
        <x:v>primary_image_confirmed</x:v>
      </x:c>
      <x:c r="J51" s="312" t="n">
        <x:v>32864.5</x:v>
      </x:c>
      <x:c r="K51" s="303" t="str">
        <x:v>Search Great Eastern through 1989-12-22 and Eastside after the effective time, including the survivor's dissolution wind-up period.</x:v>
      </x:c>
      <x:c r="L51" s="303" t="str">
        <x:v>4-7; MEX 1-3</x:v>
      </x:c>
      <x:c r="M51" s="303" t="str">
        <x:v>OH-SOS:689908:G769_0688;OH-SOS:689907:G769_0695</x:v>
      </x:c>
      <x:c r="N51" s="303" t="str">
        <x:v>primary_agreement_confirmed</x:v>
      </x:c>
      <x:c r="O51" s="303" t="str">
        <x:v>The exact-charter MEX packet confirms Great Eastern merged out but omits the survivor; the reciprocal agreement expressly names Eastside. The sole shareholder is unnamed.</x:v>
      </x:c>
    </x:row>
    <x:row r="52" ht="66" customHeight="1">
      <x:c r="A52" s="303" t="str">
        <x:v>OH-MEX-1987-12-31-689664</x:v>
      </x:c>
      <x:c r="B52" s="309" t="n">
        <x:v>1</x:v>
      </x:c>
      <x:c r="C52" s="303" t="str">
        <x:v>OH:689664</x:v>
      </x:c>
      <x:c r="D52" s="303" t="str">
        <x:v>689664</x:v>
      </x:c>
      <x:c r="E52" s="303" t="str">
        <x:v>BREWER FARMS, INC.</x:v>
      </x:c>
      <x:c r="F52" s="303" t="str">
        <x:v>predecessor_survivor_unknown</x:v>
      </x:c>
      <x:c r="G52" s="303"/>
      <x:c r="H52" s="315" t="str">
        <x:v>G313_0675</x:v>
      </x:c>
      <x:c r="I52" s="303" t="str">
        <x:v>primary_mex_status_confirmed</x:v>
      </x:c>
      <x:c r="J52" s="312" t="n">
        <x:v>32142.5</x:v>
      </x:c>
      <x:c r="K52" s="303" t="str">
        <x:v>Search Brewer Farms through 1987-12-31; search recorder instruments afterward for successor-by-merger language; do not switch to any candidate survivor without explicit primary evidence.</x:v>
      </x:c>
      <x:c r="L52" s="303" t="str">
        <x:v>1-3</x:v>
      </x:c>
      <x:c r="M52" s="303" t="str">
        <x:v>OH-SOS:689664:G313_0675</x:v>
      </x:c>
      <x:c r="N52" s="303" t="str">
        <x:v>terminal_status_confirmed_survivor_unresolved</x:v>
      </x:c>
      <x:c r="O52" s="303" t="str">
        <x:v>The packet confirms MEX status but identifies no survivor, other constituent, parcel, or asset recipient.</x:v>
      </x:c>
    </x:row>
    <x:row r="53" ht="66" customHeight="1">
      <x:c r="A53" s="304" t="str">
        <x:v>OH-MEX-1987-12-31-689666</x:v>
      </x:c>
      <x:c r="B53" s="310" t="n">
        <x:v>1</x:v>
      </x:c>
      <x:c r="C53" s="304" t="str">
        <x:v>OH:689666</x:v>
      </x:c>
      <x:c r="D53" s="304" t="str">
        <x:v>689666</x:v>
      </x:c>
      <x:c r="E53" s="304" t="str">
        <x:v>CENTRAL FALLS, INC.</x:v>
      </x:c>
      <x:c r="F53" s="304" t="str">
        <x:v>predecessor_survivor_unknown</x:v>
      </x:c>
      <x:c r="G53" s="304"/>
      <x:c r="H53" s="316" t="str">
        <x:v>G313_0685</x:v>
      </x:c>
      <x:c r="I53" s="304" t="str">
        <x:v>primary_mex_status_confirmed</x:v>
      </x:c>
      <x:c r="J53" s="313" t="n">
        <x:v>32142.5</x:v>
      </x:c>
      <x:c r="K53" s="304" t="str">
        <x:v>Search Central Falls through 1987-12-31; search recorder instruments afterward for successor-by-merger language; do not switch to any candidate survivor without explicit primary evidence.</x:v>
      </x:c>
      <x:c r="L53" s="304" t="str">
        <x:v>1-3</x:v>
      </x:c>
      <x:c r="M53" s="304" t="str">
        <x:v>OH-SOS:689666:G313_0685</x:v>
      </x:c>
      <x:c r="N53" s="304" t="str">
        <x:v>terminal_status_confirmed_survivor_unresolved</x:v>
      </x:c>
      <x:c r="O53" s="304" t="str">
        <x:v>The packet confirms MEX status but identifies no survivor, other constituent, parcel, or asset recipient.</x:v>
      </x:c>
    </x:row>
  </x:sheetData>
  <x:mergeCells>
    <x:mergeCell ref="A1:O1"/>
    <x:mergeCell ref="A2:O2"/>
  </x:mergeCells>
  <x:conditionalFormatting sqref="F5:F53">
    <x:cfRule type="containsText" dxfId="9" priority="1" operator="containsText" text="survivor"/>
    <x:cfRule type="containsText" dxfId="10" priority="2" operator="containsText" text="predecessor"/>
  </x:conditionalFormatting>
  <x:pageMargins left="0.7" right="0.7" top="0.75" bottom="0.75" header="0.3" footer="0.3"/>
  <x:tableParts count="1">
    <x:tablePart xmlns:r="http://schemas.openxmlformats.org/officeDocument/2006/relationships" r:id="Reab60b9bbad84df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8" hidden="0" customWidth="1"/>
    <x:col min="4" max="4" width="28" hidden="0" customWidth="1"/>
    <x:col min="5" max="5" width="44" hidden="0" customWidth="1"/>
    <x:col min="6" max="6" width="34" hidden="0" customWidth="1"/>
    <x:col min="7" max="7" width="28" hidden="0" customWidth="1"/>
    <x:col min="8" max="8" width="44" hidden="0" customWidth="1"/>
  </x:cols>
  <x:sheetData>
    <x:row r="1" ht="30" customHeight="1">
      <x:c r="A1" s="3" t="str">
        <x:v>Morsham statutory, title, and asserted successor chain</x:v>
      </x:c>
      <x:c r="B1" s="3"/>
      <x:c r="C1" s="3"/>
      <x:c r="D1" s="3"/>
      <x:c r="E1" s="3"/>
      <x:c r="F1" s="3"/>
      <x:c r="G1" s="3"/>
      <x:c r="H1" s="3"/>
    </x:row>
    <x:row r="2" ht="36" customHeight="1">
      <x:c r="A2" s="12" t="str">
        <x:v>This sheet deliberately separates statutory merger edges, asset-specific deeds, and the later affidavit assertion. They are not interchangeable relation types.</x:v>
      </x:c>
      <x:c r="B2" s="13"/>
      <x:c r="C2" s="13"/>
      <x:c r="D2" s="13"/>
      <x:c r="E2" s="13"/>
      <x:c r="F2" s="13"/>
      <x:c r="G2" s="13"/>
      <x:c r="H2" s="14"/>
    </x:row>
    <x:row r="4" ht="32" customHeight="1">
      <x:c r="A4" s="292" t="str">
        <x:v>date</x:v>
      </x:c>
      <x:c r="B4" s="293" t="str">
        <x:v>event</x:v>
      </x:c>
      <x:c r="C4" s="293" t="str">
        <x:v>entity_from</x:v>
      </x:c>
      <x:c r="D4" s="293" t="str">
        <x:v>entity_to</x:v>
      </x:c>
      <x:c r="E4" s="293" t="str">
        <x:v>relationship</x:v>
      </x:c>
      <x:c r="F4" s="293" t="str">
        <x:v>evidence_source</x:v>
      </x:c>
      <x:c r="G4" s="293" t="str">
        <x:v>evidence_state</x:v>
      </x:c>
      <x:c r="H4" s="294" t="str">
        <x:v>caveat</x:v>
      </x:c>
    </x:row>
    <x:row r="5" ht="72" customHeight="1">
      <x:c r="A5" s="311" t="n">
        <x:v>35062.5</x:v>
      </x:c>
      <x:c r="B5" s="302" t="str">
        <x:v>Ohio statutory multi-entity merger</x:v>
      </x:c>
      <x:c r="C5" s="302" t="str">
        <x:v>Bluffton Holding Corporation (Ohio 724612)</x:v>
      </x:c>
      <x:c r="D5" s="302" t="str">
        <x:v>Eastern Ohio Holding Company, Inc. (Ohio 855092)</x:v>
      </x:c>
      <x:c r="E5" s="302" t="str">
        <x:v>statutory merging corporation into surviving corporation</x:v>
      </x:c>
      <x:c r="F5" s="302" t="str">
        <x:v>OH-SOS:855092:5422_1190:p1,p3,p8</x:v>
      </x:c>
      <x:c r="G5" s="302" t="str">
        <x:v>primary Ohio filing image; visually verified</x:v>
      </x:c>
      <x:c r="H5" s="302" t="str">
        <x:v>One of eight simultaneous predecessor corporations; not a name change.</x:v>
      </x:c>
    </x:row>
    <x:row r="6" ht="72" customHeight="1">
      <x:c r="A6" s="312" t="n">
        <x:v>35062.5</x:v>
      </x:c>
      <x:c r="B6" s="303" t="str">
        <x:v>Ohio statutory multi-entity merger</x:v>
      </x:c>
      <x:c r="C6" s="303" t="str">
        <x:v>New Albany Cardinal Associates, Inc. (Ohio 749169)</x:v>
      </x:c>
      <x:c r="D6" s="303" t="str">
        <x:v>Eastern Ohio Holding Company, Inc. (Ohio 855092)</x:v>
      </x:c>
      <x:c r="E6" s="303" t="str">
        <x:v>statutory merging corporation into surviving corporation</x:v>
      </x:c>
      <x:c r="F6" s="303" t="str">
        <x:v>OH-SOS:855092:5422_1190:p1,p3,p8</x:v>
      </x:c>
      <x:c r="G6" s="303" t="str">
        <x:v>primary Ohio filing image; visually verified</x:v>
      </x:c>
      <x:c r="H6" s="303" t="str">
        <x:v>One of eight simultaneous predecessor corporations; not a name change.</x:v>
      </x:c>
    </x:row>
    <x:row r="7" ht="72" customHeight="1">
      <x:c r="A7" s="312" t="n">
        <x:v>35062.5</x:v>
      </x:c>
      <x:c r="B7" s="303" t="str">
        <x:v>Ohio statutory multi-entity merger</x:v>
      </x:c>
      <x:c r="C7" s="303" t="str">
        <x:v>Union Holding Corporation (Ohio 724621)</x:v>
      </x:c>
      <x:c r="D7" s="303" t="str">
        <x:v>Eastern Ohio Holding Company, Inc. (Ohio 855092)</x:v>
      </x:c>
      <x:c r="E7" s="303" t="str">
        <x:v>statutory merging corporation into surviving corporation</x:v>
      </x:c>
      <x:c r="F7" s="303" t="str">
        <x:v>OH-SOS:855092:5422_1190:p1,p3,p8</x:v>
      </x:c>
      <x:c r="G7" s="303" t="str">
        <x:v>primary Ohio filing image; visually verified</x:v>
      </x:c>
      <x:c r="H7" s="303" t="str">
        <x:v>One of eight simultaneous predecessor corporations; not a name change.</x:v>
      </x:c>
    </x:row>
    <x:row r="8" ht="72" customHeight="1">
      <x:c r="A8" s="312" t="n">
        <x:v>35062.5</x:v>
      </x:c>
      <x:c r="B8" s="303" t="str">
        <x:v>Ohio statutory multi-entity merger</x:v>
      </x:c>
      <x:c r="C8" s="303" t="str">
        <x:v>Blueberry Ridge Properties, Inc. (Ohio 714670)</x:v>
      </x:c>
      <x:c r="D8" s="303" t="str">
        <x:v>Eastern Ohio Holding Company, Inc. (Ohio 855092)</x:v>
      </x:c>
      <x:c r="E8" s="303" t="str">
        <x:v>statutory merging corporation into surviving corporation</x:v>
      </x:c>
      <x:c r="F8" s="303" t="str">
        <x:v>OH-SOS:855092:5422_1190:p1,p3,p8</x:v>
      </x:c>
      <x:c r="G8" s="303" t="str">
        <x:v>primary Ohio filing image; visually verified</x:v>
      </x:c>
      <x:c r="H8" s="303" t="str">
        <x:v>One of eight simultaneous predecessor corporations; not a name change.</x:v>
      </x:c>
    </x:row>
    <x:row r="9" ht="72" customHeight="1">
      <x:c r="A9" s="312" t="n">
        <x:v>35062.5</x:v>
      </x:c>
      <x:c r="B9" s="303" t="str">
        <x:v>Ohio statutory multi-entity merger</x:v>
      </x:c>
      <x:c r="C9" s="303" t="str">
        <x:v>Tudor Properties, Inc. (Ohio 719945)</x:v>
      </x:c>
      <x:c r="D9" s="303" t="str">
        <x:v>Eastern Ohio Holding Company, Inc. (Ohio 855092)</x:v>
      </x:c>
      <x:c r="E9" s="303" t="str">
        <x:v>statutory merging corporation into surviving corporation</x:v>
      </x:c>
      <x:c r="F9" s="303" t="str">
        <x:v>OH-SOS:855092:5422_1190:p1,p3,p8</x:v>
      </x:c>
      <x:c r="G9" s="303" t="str">
        <x:v>primary Ohio filing image; visually verified</x:v>
      </x:c>
      <x:c r="H9" s="303" t="str">
        <x:v>One of eight simultaneous predecessor corporations; not a name change.</x:v>
      </x:c>
    </x:row>
    <x:row r="10" ht="72" customHeight="1">
      <x:c r="A10" s="312" t="n">
        <x:v>35062.5</x:v>
      </x:c>
      <x:c r="B10" s="303" t="str">
        <x:v>Ohio statutory multi-entity merger</x:v>
      </x:c>
      <x:c r="C10" s="303" t="str">
        <x:v>Cedar Canyon Properties, Inc. (Ohio 714673)</x:v>
      </x:c>
      <x:c r="D10" s="303" t="str">
        <x:v>Eastern Ohio Holding Company, Inc. (Ohio 855092)</x:v>
      </x:c>
      <x:c r="E10" s="303" t="str">
        <x:v>statutory merging corporation into surviving corporation</x:v>
      </x:c>
      <x:c r="F10" s="303" t="str">
        <x:v>OH-SOS:855092:5422_1190:p2,p3,p8</x:v>
      </x:c>
      <x:c r="G10" s="303" t="str">
        <x:v>primary Ohio filing image; visually verified</x:v>
      </x:c>
      <x:c r="H10" s="303" t="str">
        <x:v>One of eight simultaneous predecessor corporations; not a name change.</x:v>
      </x:c>
    </x:row>
    <x:row r="11" ht="72" customHeight="1">
      <x:c r="A11" s="312" t="n">
        <x:v>35062.5</x:v>
      </x:c>
      <x:c r="B11" s="303" t="str">
        <x:v>Ohio statutory multi-entity merger</x:v>
      </x:c>
      <x:c r="C11" s="303" t="str">
        <x:v>Morsham Land Corporation (Ohio 712296)</x:v>
      </x:c>
      <x:c r="D11" s="303" t="str">
        <x:v>Eastern Ohio Holding Company, Inc. (Ohio 855092)</x:v>
      </x:c>
      <x:c r="E11" s="303" t="str">
        <x:v>statutory merging corporation into surviving corporation</x:v>
      </x:c>
      <x:c r="F11" s="303" t="str">
        <x:v>OH-SOS:855092:5422_1190:p2,p3,p8</x:v>
      </x:c>
      <x:c r="G11" s="303" t="str">
        <x:v>primary Ohio filing image; visually verified</x:v>
      </x:c>
      <x:c r="H11" s="303" t="str">
        <x:v>This is the formal survivor edge. The merger form's name-change field is blank.</x:v>
      </x:c>
    </x:row>
    <x:row r="12" ht="72" customHeight="1">
      <x:c r="A12" s="312" t="n">
        <x:v>35062.5</x:v>
      </x:c>
      <x:c r="B12" s="303" t="str">
        <x:v>Ohio statutory multi-entity merger</x:v>
      </x:c>
      <x:c r="C12" s="303" t="str">
        <x:v>Blacksheep Farms, Inc. (Ohio 713613)</x:v>
      </x:c>
      <x:c r="D12" s="303" t="str">
        <x:v>Eastern Ohio Holding Company, Inc. (Ohio 855092)</x:v>
      </x:c>
      <x:c r="E12" s="303" t="str">
        <x:v>statutory merging corporation into surviving corporation</x:v>
      </x:c>
      <x:c r="F12" s="303" t="str">
        <x:v>OH-SOS:855092:5422_1190:p2,p3,p8</x:v>
      </x:c>
      <x:c r="G12" s="303" t="str">
        <x:v>primary Ohio filing image; visually verified</x:v>
      </x:c>
      <x:c r="H12" s="303" t="str">
        <x:v>One of eight simultaneous predecessor corporations; exact filing spelling is Blacksheep.</x:v>
      </x:c>
    </x:row>
    <x:row r="13" ht="72" customHeight="1">
      <x:c r="A13" s="312" t="n">
        <x:v>35361.5</x:v>
      </x:c>
      <x:c r="B13" s="303" t="str">
        <x:v>Franklin County capacity recital</x:v>
      </x:c>
      <x:c r="C13" s="303" t="str">
        <x:v>Morsham Land Corporation (Ohio 712296)</x:v>
      </x:c>
      <x:c r="D13" s="303" t="str">
        <x:v>Eastern Ohio Holding Company, Inc. (Ohio 855092)</x:v>
      </x:c>
      <x:c r="E13" s="303" t="str">
        <x:v>recorder instrument styles Morsham n.k.a. Eastern Ohio</x:v>
      </x:c>
      <x:c r="F13" s="303" t="str">
        <x:v>FRANKLIN-RECORDER:199610230215504:p1</x:v>
      </x:c>
      <x:c r="G13" s="303" t="str">
        <x:v>primary recorder image; visually verified</x:v>
      </x:c>
      <x:c r="H13" s="303" t="str">
        <x:v>The n.k.a. wording is loose or shorthand: the statutory merger certificate names Eastern Ohio as survivor and leaves the name-change field blank.</x:v>
      </x:c>
    </x:row>
    <x:row r="14" ht="72" customHeight="1">
      <x:c r="A14" s="312" t="n">
        <x:v>35384.5</x:v>
      </x:c>
      <x:c r="B14" s="303" t="str">
        <x:v>Franklin County deed and title transfer</x:v>
      </x:c>
      <x:c r="C14" s="303" t="str">
        <x:v>Morsham Land Corporation (Ohio 712296)</x:v>
      </x:c>
      <x:c r="D14" s="303" t="str">
        <x:v>Eastern Ohio Holding Company, Inc. (Ohio 855092)</x:v>
      </x:c>
      <x:c r="E14" s="303" t="str">
        <x:v>recorder deed expressly calls Eastern Ohio successor by merger to Morsham</x:v>
      </x:c>
      <x:c r="F14" s="303" t="str">
        <x:v>FRANKLIN-RECORDER:199611150229244:p1</x:v>
      </x:c>
      <x:c r="G14" s="303" t="str">
        <x:v>primary recorder image; visually verified</x:v>
      </x:c>
      <x:c r="H14" s="303" t="str">
        <x:v>This recital is now directly corroborated by the statutory merger certificate.</x:v>
      </x:c>
    </x:row>
    <x:row r="15" ht="72" customHeight="1">
      <x:c r="A15" s="312" t="n">
        <x:v>35384.5</x:v>
      </x:c>
      <x:c r="B15" s="303" t="str">
        <x:v>Franklin County property conveyance</x:v>
      </x:c>
      <x:c r="C15" s="303" t="str">
        <x:v>Eastern Ohio Holding Company, Inc. (Ohio 855092)</x:v>
      </x:c>
      <x:c r="D15" s="303" t="str">
        <x:v>The New Albany Company Limited Partnership (Delaware LP)</x:v>
      </x:c>
      <x:c r="E15" s="303" t="str">
        <x:v>Eastern Ohio conveyed 35.686 Morsham-derived acres to New Albany LP</x:v>
      </x:c>
      <x:c r="F15" s="303" t="str">
        <x:v>FRANKLIN-RECORDER:199611150229244:p1-p3</x:v>
      </x:c>
      <x:c r="G15" s="303" t="str">
        <x:v>primary recorder images; visually verified</x:v>
      </x:c>
      <x:c r="H15" s="303" t="str">
        <x:v>A property-title transfer, not a corporate merger or proof that New Albany LP succeeded to all Eastern Ohio assets.</x:v>
      </x:c>
    </x:row>
    <x:row r="16" ht="72" customHeight="1">
      <x:c r="A16" s="312" t="n">
        <x:v>35479.5</x:v>
      </x:c>
      <x:c r="B16" s="303" t="str">
        <x:v>Franklin County deeds and repeated capacity recitals</x:v>
      </x:c>
      <x:c r="C16" s="303" t="str">
        <x:v>Eastern Ohio Holding Company, Inc. (Ohio 855092)</x:v>
      </x:c>
      <x:c r="D16" s="303" t="str">
        <x:v>The New Albany Company Limited Partnership (Delaware LP)</x:v>
      </x:c>
      <x:c r="E16" s="303" t="str">
        <x:v>Eastern Ohio, styled successor by merger to Morsham, joined two additional conveyances to New Albany LP</x:v>
      </x:c>
      <x:c r="F16" s="303" t="str">
        <x:v>FRANKLIN-RECORDER:199702180037606:p1-p3; FRANKLIN-RECORDER:199702180037607:p1-p4</x:v>
      </x:c>
      <x:c r="G16" s="303" t="str">
        <x:v>primary recorder images; visually verified</x:v>
      </x:c>
      <x:c r="H16" s="303" t="str">
        <x:v>The instruments also name Black Sheep Farms as co-grantor; no separate Black Sheep execution appears in the reviewed recorded pages.</x:v>
      </x:c>
    </x:row>
    <x:row r="17" ht="72" customHeight="1">
      <x:c r="A17" s="312" t="n">
        <x:v>39545.5</x:v>
      </x:c>
      <x:c r="B17" s="303" t="str">
        <x:v>Franklin County downstream title recital</x:v>
      </x:c>
      <x:c r="C17" s="303" t="str">
        <x:v>The New Albany Company Limited Partnership (Delaware LP)</x:v>
      </x:c>
      <x:c r="D17" s="303" t="str">
        <x:v>The New Albany Company LLC (Delaware LLC)</x:v>
      </x:c>
      <x:c r="E17" s="303" t="str">
        <x:v>the LLC recites ownership under a 1997 deed whose grantee was the LP</x:v>
      </x:c>
      <x:c r="F17" s="303" t="str">
        <x:v>FRANKLIN-RECORDER:200804070052880:p1-p4</x:v>
      </x:c>
      <x:c r="G17" s="303" t="str">
        <x:v>primary recorder images; visually verified</x:v>
      </x:c>
      <x:c r="H17" s="303" t="str">
        <x:v>Supports a property-title continuity clue only; does not identify an LP-to-LLC conversion, merger, or transfer mechanism.</x:v>
      </x:c>
    </x:row>
    <x:row r="18" ht="72" customHeight="1">
      <x:c r="A18" s="313" t="n">
        <x:v>42482.5</x:v>
      </x:c>
      <x:c r="B18" s="304" t="str">
        <x:v>Franklin County title affidavit</x:v>
      </x:c>
      <x:c r="C18" s="304" t="str">
        <x:v>Morsham Land Corporation (Ohio 712296)</x:v>
      </x:c>
      <x:c r="D18" s="304" t="str">
        <x:v>The New Albany Company LLC (Delaware LLC)</x:v>
      </x:c>
      <x:c r="E18" s="304" t="str">
        <x:v>New Albany LLC treasurer asserts the LLC is successor-in-interest to all real estate and assets remaining titled to Morsham</x:v>
      </x:c>
      <x:c r="F18" s="304" t="str">
        <x:v>FRANKLIN-RECORDER:201604220049452:p2</x:v>
      </x:c>
      <x:c r="G18" s="304" t="str">
        <x:v>primary recorder image; visually verified</x:v>
      </x:c>
      <x:c r="H18" s="304" t="str">
        <x:v>Attributed ultimate asset/title-successor assertion. It does not identify Eastern Ohio or document the later statutory steps from the 1995 survivor to the LLC.</x:v>
      </x:c>
    </x:row>
  </x:sheetData>
  <x:mergeCells>
    <x:mergeCell ref="A1:H1"/>
    <x:mergeCell ref="A2:H2"/>
  </x:mergeCells>
  <x:conditionalFormatting sqref="E5:E18">
    <x:cfRule type="containsText" dxfId="11" priority="1" operator="containsText" text="statutory"/>
    <x:cfRule type="containsText" dxfId="12" priority="2" operator="containsText" text="assert"/>
  </x:conditionalFormatting>
  <x:pageMargins left="0.7" right="0.7" top="0.75" bottom="0.75" header="0.3" footer="0.3"/>
  <x:tableParts count="1">
    <x:tablePart xmlns:r="http://schemas.openxmlformats.org/officeDocument/2006/relationships" r:id="Re1c5a04514cf4ca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34" hidden="0" customWidth="1"/>
    <x:col min="4" max="4" width="44" hidden="0" customWidth="1"/>
    <x:col min="5" max="5" width="20" hidden="0" customWidth="1"/>
    <x:col min="6" max="6" width="20" hidden="0" customWidth="1"/>
    <x:col min="7" max="7" width="34" hidden="0" customWidth="1"/>
    <x:col min="8" max="8" width="20" hidden="0" customWidth="1"/>
    <x:col min="9" max="9" width="44" hidden="0" customWidth="1"/>
    <x:col min="10" max="10" width="44" hidden="0" customWidth="1"/>
    <x:col min="11" max="11" width="20" hidden="0" customWidth="1"/>
    <x:col min="12" max="12" width="20" hidden="0" customWidth="1"/>
  </x:cols>
  <x:sheetData>
    <x:row r="1" ht="30" customHeight="1">
      <x:c r="A1" s="3" t="str">
        <x:v>Search coverage, failure modes, and interpretation rules</x:v>
      </x:c>
      <x:c r="B1" s="3"/>
      <x:c r="C1" s="3"/>
      <x:c r="D1" s="3"/>
      <x:c r="E1" s="3"/>
      <x:c r="F1" s="3"/>
      <x:c r="G1" s="3"/>
      <x:c r="H1" s="3"/>
      <x:c r="I1" s="3"/>
      <x:c r="J1" s="3"/>
      <x:c r="K1" s="3"/>
      <x:c r="L1" s="3"/>
    </x:row>
    <x:row r="2" ht="36" customHeight="1">
      <x:c r="A2" s="12" t="str">
        <x:v>Party index, OCR, image review, adjacent-county checks, and access limits are reported as different evidence states.</x:v>
      </x:c>
      <x:c r="B2" s="13"/>
      <x:c r="C2" s="13"/>
      <x:c r="D2" s="13"/>
      <x:c r="E2" s="13"/>
      <x:c r="F2" s="13"/>
      <x:c r="G2" s="13"/>
      <x:c r="H2" s="13"/>
      <x:c r="I2" s="13"/>
      <x:c r="J2" s="13"/>
      <x:c r="K2" s="13"/>
      <x:c r="L2" s="14"/>
    </x:row>
    <x:row r="4" ht="32" customHeight="1">
      <x:c r="A4" s="292" t="str">
        <x:v>qa_id</x:v>
      </x:c>
      <x:c r="B4" s="293" t="str">
        <x:v>search_state_or_issue</x:v>
      </x:c>
      <x:c r="C4" s="293" t="str">
        <x:v>source</x:v>
      </x:c>
      <x:c r="D4" s="293" t="str">
        <x:v>scope_or_query</x:v>
      </x:c>
      <x:c r="E4" s="293" t="str">
        <x:v>quantitative_result</x:v>
      </x:c>
      <x:c r="F4" s="293" t="str">
        <x:v>result_unit</x:v>
      </x:c>
      <x:c r="G4" s="293" t="str">
        <x:v>quantitative_source</x:v>
      </x:c>
      <x:c r="H4" s="293" t="str">
        <x:v>access_or_completion</x:v>
      </x:c>
      <x:c r="I4" s="293" t="str">
        <x:v>what_this_state_supports</x:v>
      </x:c>
      <x:c r="J4" s="293" t="str">
        <x:v>what_this_state_does_not_support</x:v>
      </x:c>
      <x:c r="K4" s="293" t="str">
        <x:v>key_example</x:v>
      </x:c>
      <x:c r="L4" s="294" t="str">
        <x:v>rule_or_follow_up</x:v>
      </x:c>
    </x:row>
    <x:row r="5" ht="76" customHeight="1">
      <x:c r="A5" s="302" t="str">
        <x:v>QA-01</x:v>
      </x:c>
      <x:c r="B5" s="302" t="str">
        <x:v>Franklin exact party-index search</x:v>
      </x:c>
      <x:c r="C5" s="302" t="str">
        <x:v>Franklin County Recorder PublicSearch RP advanced Party Names</x:v>
      </x:c>
      <x:c r="D5" s="302" t="str">
        <x:v>Forty-nine explicit entity-name variants; grantor plus grantee; recorded-date range 1600-01-01 through 2026-07-30; all source-reported pages.</x:v>
      </x:c>
      <x:c r="E5" s="302" t="str">
        <x:v>49 variants; 53 page requests; 299 unique raw candidates; 63 exact target-party hits; 1 separately linked affidavit</x:v>
      </x:c>
      <x:c r="F5" s="302" t="str">
        <x:v>queries, pages, unique candidates, normalized hits</x:v>
      </x:c>
      <x:c r="G5" s="302" t="str">
        <x:v>/tmp/osint-7Vd0k25d/report-agent-franklin-index.md; /tmp/osint-7Vd0k25d/franklin-index-raw.json; /tmp/osint-7Vd0k25d/franklin-index-hits.csv</x:v>
      </x:c>
      <x:c r="H5" s="302" t="str">
        <x:v>Complete pagination; anonymous index and exact-detail access.</x:v>
      </x:c>
      <x:c r="I5" s="302" t="str">
        <x:v>What the official index labels as party, instrument type, recording date, indexed legal/parcel text, page count, and marginal references.</x:v>
      </x:c>
      <x:c r="J5" s="302" t="str">
        <x:v>Instrument-body names, actual legal capacity, unindexed signers, beneficial ownership, complete title, or the legal effect of ambiguous text. A zero is not a property negative.</x:v>
      </x:c>
      <x:c r="K5" s="302" t="str">
        <x:v>PARK PROPERTIES broad search produced 216 unique raw candidates but only 13 exact target-party rows; N.A./New Albany variants produced 36 raw candidates but only 3 exact N.A. Property rows.</x:v>
      </x:c>
      <x:c r="L5" s="302" t="str">
        <x:v>Normalize exact parties, retain spillover for audit, and never promote an index row to an operative legal conclusion without the image.</x:v>
      </x:c>
    </x:row>
    <x:row r="6" ht="76" customHeight="1">
      <x:c r="A6" s="303" t="str">
        <x:v>QA-02</x:v>
      </x:c>
      <x:c r="B6" s="303" t="str">
        <x:v>Franklin OCR discovery survey</x:v>
      </x:c>
      <x:c r="C6" s="303" t="str">
        <x:v>Franklin County Recorder PublicSearch full-text OCR</x:v>
      </x:c>
      <x:c r="D6" s="303" t="str">
        <x:v>Twenty-one initial name variants; recorded-date range 1980-01-01 through 2026-07-30; all result pages exhausted.</x:v>
      </x:c>
      <x:c r="E6" s="303" t="str">
        <x:v>21 variants; 458 source-reported result occurrences</x:v>
      </x:c>
      <x:c r="F6" s="303" t="str">
        <x:v>queries and source-reported occurrences</x:v>
      </x:c>
      <x:c r="G6" s="303" t="str">
        <x:v>/tmp/osint-7Vd0k25d/franklin-entity-ocr-survey.json; /tmp/osint-7Vd0k25d/franklin-entity-ocr-pagination.json; /tmp/osint-7Vd0k25d/franklin-entity-ocr-search-pages/</x:v>
      </x:c>
      <x:c r="H6" s="303" t="str">
        <x:v>Fully exhausted; anonymous OCR search.</x:v>
      </x:c>
      <x:c r="I6" s="303" t="str">
        <x:v>Discovery of names appearing in instrument text, signature blocks, legal descriptions, old references, and unindexed roles.</x:v>
      </x:c>
      <x:c r="J6" s="303" t="str">
        <x:v>Correct spelling, party status, operative capacity, title effect, or relevance. Token matching and OCR errors can generate large false-positive universes.</x:v>
      </x:c>
      <x:c r="K6" s="303" t="str">
        <x:v>Rocky Fork Development returned 242 broad OCR results, and Morsham Land returned 68; many are later references rather than new transactions.</x:v>
      </x:c>
      <x:c r="L6" s="303" t="str">
        <x:v>Treat OCR as a candidate generator. Use suffix/punctuation variants to control recall and inspect the original page before drawing a legal conclusion.</x:v>
      </x:c>
    </x:row>
    <x:row r="7" ht="76" customHeight="1">
      <x:c r="A7" s="303" t="str">
        <x:v>QA-03</x:v>
      </x:c>
      <x:c r="B7" s="303" t="str">
        <x:v>Franklin precise legal-name OCR gap wave</x:v>
      </x:c>
      <x:c r="C7" s="303" t="str">
        <x:v>Franklin County Recorder PublicSearch full-text OCR</x:v>
      </x:c>
      <x:c r="D7" s="303" t="str">
        <x:v>Twenty suffix/punctuation variants designed to close false-zero gaps, including C-Wren Investment Corp, N.A. Property Inc, H.H.D.&amp;B., LLC, and 1990 Family Property Trust A.</x:v>
      </x:c>
      <x:c r="E7" s="303" t="str">
        <x:v>20 variants; 108 source-reported result occurrences</x:v>
      </x:c>
      <x:c r="F7" s="303" t="str">
        <x:v>queries and source-reported occurrences</x:v>
      </x:c>
      <x:c r="G7" s="303" t="str">
        <x:v>/tmp/osint-7Vd0k25d/franklin-entity-ocr-variant-gap.json; /tmp/osint-7Vd0k25d/franklin-entity-ocr-variant-gap-pages/</x:v>
      </x:c>
      <x:c r="H7" s="303" t="str">
        <x:v>All twenty variants fully exhausted.</x:v>
      </x:c>
      <x:c r="I7" s="303" t="str">
        <x:v>Higher-precision discovery and explicit confirmation that punctuation/suffix choice changes recall.</x:v>
      </x:c>
      <x:c r="J7" s="303" t="str">
        <x:v>That every hit concerns the target's own transaction; exact phrases can survive in historical legal descriptions or boundary calls.</x:v>
      </x:c>
      <x:c r="K7" s="303" t="str">
        <x:v>HHD &amp; B LLC and HHDB returned zero in the initial survey, while H.H.D.&amp;B., LLC plus HHD&amp;B LLC returned eight unique instruments.</x:v>
      </x:c>
      <x:c r="L7" s="303" t="str">
        <x:v>Search the legal name exactly, then repeat without punctuation, with suffix variants, and under structural counterparties.</x:v>
      </x:c>
    </x:row>
    <x:row r="8" ht="76" customHeight="1">
      <x:c r="A8" s="303" t="str">
        <x:v>QA-04</x:v>
      </x:c>
      <x:c r="B8" s="303" t="str">
        <x:v>Visually reviewed Franklin recorder images</x:v>
      </x:c>
      <x:c r="C8" s="303" t="str">
        <x:v>Official native PublicSearch PNG page images plus local OCR for navigation</x:v>
      </x:c>
      <x:c r="D8" s="303" t="str">
        <x:v>Completed family audits: Cherry 25 instruments; Park 17 ledger rows with 13 accessible-image instruments and 4 image-unavailable UCC rows; C-Wren/KG 19 true rows with 17 accessible; Rocky Fork 25; Morsham 16; HHD 8; plus reviewed INN, N.A., City Centre, trust, and Parkview instruments.</x:v>
      </x:c>
      <x:c r="E8" s="303" t="str">
        <x:v>No non-overlapping aggregate is asserted; family-specific counts are preserved</x:v>
      </x:c>
      <x:c r="F8" s="303" t="str">
        <x:v>reviewed instruments by family</x:v>
      </x:c>
      <x:c r="G8" s="303" t="str">
        <x:v>/tmp/osint-7Vd0k25d/report-agent-cherry-bottom-family.md; /tmp/osint-7Vd0k25d/report-agent-park-properties-family.md; /tmp/osint-7Vd0k25d/report-agent-c-wren-kg-family.md; /tmp/osint-7Vd0k25d/report-agent-rocky-fork-family.md; /tmp/osint-7Vd0k25d/report-agent-morsham-family.md; /tmp/osint-7Vd0k25d/report-agent-hhd-family.md; /tmp/osint-7Vd0k25d/normalized-parcel-chronology.csv</x:v>
      </x:c>
      <x:c r="H8" s="303" t="str">
        <x:v>Public pages retrieved without purchase; decisive operative, execution, legal, amount, and successor pages visually checked. Six chronology rows remain detail-only because pages were unavailable.</x:v>
      </x:c>
      <x:c r="I8" s="303" t="str">
        <x:v>Operative grantor/grantee or debtor/secured-party capacity, exact successor wording, signatures and titles, stated debt/consideration, legal description, cross-references, and whether an apparent hit is substantive.</x:v>
      </x:c>
      <x:c r="J8" s="303" t="str">
        <x:v>A countywide title guarantee, unrecorded interests, beneficial ownership, payoff source, legal adjudication, or the contents of unavailable pages.</x:v>
      </x:c>
      <x:c r="K8" s="303" t="str">
        <x:v>Park's three index rows each display 5 million dollars, but image review proves two were recorder-error duplicates of one transaction; the true mortgage cap was 1.15 million dollars for Fried's guaranty.</x:v>
      </x:c>
      <x:c r="L8" s="303" t="str">
        <x:v>Use image text for load-bearing claims and preserve page-level evidence references. Keep inaccessible-page rows explicitly detail-only.</x:v>
      </x:c>
    </x:row>
    <x:row r="9" ht="76" customHeight="1">
      <x:c r="A9" s="303" t="str">
        <x:v>QA-05</x:v>
      </x:c>
      <x:c r="B9" s="303" t="str">
        <x:v>Delaware County recorder exact-prefix cross-check</x:v>
      </x:c>
      <x:c r="C9" s="303" t="str">
        <x:v>Delaware County Recorder online name index</x:v>
      </x:c>
      <x:c r="D9" s="303" t="str">
        <x:v>Twenty-one family-name/punctuation prefixes; recorded-date range 1753-01-01 through 2026-08-01.</x:v>
      </x:c>
      <x:c r="E9" s="303" t="str">
        <x:v>21 prefix queries; 0 exact target-entity matches after name QA; broad PARKVIEW returned 21 candidate names; PARKVIEW INC returned 0</x:v>
      </x:c>
      <x:c r="F9" s="303" t="str">
        <x:v>queries, exact target matches, broad candidate names</x:v>
      </x:c>
      <x:c r="G9" s="303" t="str">
        <x:v>/tmp/osint-7Vd0k25d/delaware-recorder-name-results.json; /tmp/osint-7Vd0k25d/adjacent-property-search-log-audit.json; /tmp/osint-7Vd0k25d/delaware-recorder-name-01.json through /tmp/osint-7Vd0k25d/delaware-recorder-name-21.json</x:v>
      </x:c>
      <x:c r="H9" s="303" t="str">
        <x:v>Anonymous prefix-name search completed for the family set.</x:v>
      </x:c>
      <x:c r="I9" s="303" t="str">
        <x:v>A bounded negative for exact indexed party names within the advertised date range and searched variants.</x:v>
      </x:c>
      <x:c r="J9" s="303" t="str">
        <x:v>Absence of Delaware County property under partnerships, aliases, trustees, individuals, parcel-only indexing, or unsearched predecessor/successor names.</x:v>
      </x:c>
      <x:c r="K9" s="303" t="str">
        <x:v>The 21 PARKVIEW candidates were Parkview Estates, lenders, associations, condominiums, and subdivisions—not Parkview Financial. The tighter PARKVIEW INC query returned zero.</x:v>
      </x:c>
      <x:c r="L9" s="303" t="str">
        <x:v>Report zero as exact-name-index coverage only. Do not describe it as no Delaware County property.</x:v>
      </x:c>
    </x:row>
    <x:row r="10" ht="76" customHeight="1">
      <x:c r="A10" s="303" t="str">
        <x:v>QA-06</x:v>
      </x:c>
      <x:c r="B10" s="303" t="str">
        <x:v>Licking County access limitation</x:v>
      </x:c>
      <x:c r="C10" s="303" t="str">
        <x:v>Licking County Recorder PAX and OnTrac portals; OGRIP parcel layer</x:v>
      </x:c>
      <x:c r="D10" s="303" t="str">
        <x:v>Attempted anonymous recorder discovery and current parcel/owner alternatives.</x:v>
      </x:c>
      <x:c r="E10" s="303" t="str">
        <x:v>NA</x:v>
      </x:c>
      <x:c r="F10" s="303" t="str">
        <x:v>NA</x:v>
      </x:c>
      <x:c r="G10" s="303" t="str">
        <x:v>/tmp/osint-7Vd0k25d/licking-recorder-pax.html; /tmp/osint-7Vd0k25d/licking-ontrac.html; /tmp/osint-7Vd0k25d/report-agent-parcel-chronology.md</x:v>
      </x:c>
      <x:c r="H10" s="303" t="str">
        <x:v>PAX anonymous discovery was account-gated; OnTrac returned HTTP 403; the available OGRIP layer did not expose owner names for this use.</x:v>
      </x:c>
      <x:c r="I10" s="303" t="str">
        <x:v>Only the existence of an access barrier and the need for a different public channel or manual account-enabled review.</x:v>
      </x:c>
      <x:c r="J10" s="303" t="str">
        <x:v>Any negative inference about Licking County deeds, declarations, mortgages, or property ownership.</x:v>
      </x:c>
      <x:c r="K10" s="303" t="str">
        <x:v>Franklin instrument 199212080242108 expressly cites a Licking County New Albany Communities declaration at OR 356 page 485, making the access gap material.</x:v>
      </x:c>
      <x:c r="L10" s="303" t="str">
        <x:v>Carry Licking as not searched to evidentiary completion, not zero results. Obtain recorder access or inspect the cited book/page manually.</x:v>
      </x:c>
    </x:row>
    <x:row r="11" ht="76" customHeight="1">
      <x:c r="A11" s="303" t="str">
        <x:v>QA-07</x:v>
      </x:c>
      <x:c r="B11" s="303" t="str">
        <x:v>Party index misses body-only corporate member</x:v>
      </x:c>
      <x:c r="C11" s="303" t="str">
        <x:v>Franklin exact party index versus OCR and KG structural pivot</x:v>
      </x:c>
      <x:c r="D11" s="303" t="str">
        <x:v>C-Wren target-name search, precise full-text query, and KG Partners party search.</x:v>
      </x:c>
      <x:c r="E11" s="303" t="str">
        <x:v>0 C-Wren party hits; 2 C-Wren OCR hits; 19 true KG-family party instruments from 21 KG results</x:v>
      </x:c>
      <x:c r="F11" s="303" t="str">
        <x:v>target-party hits, OCR hits, true structural-family instruments</x:v>
      </x:c>
      <x:c r="G11" s="303" t="str">
        <x:v>/tmp/osint-7Vd0k25d/report-agent-c-wren-kg-family.md; /tmp/osint-7Vd0k25d/franklin-kg-party-search.json; /tmp/osint-7Vd0k25d/franklin-entity-ocr-variant-gap.json</x:v>
      </x:c>
      <x:c r="H11" s="303" t="str">
        <x:v>Complete for the reviewed C-Wren/KG discovery set.</x:v>
      </x:c>
      <x:c r="I11" s="303" t="str">
        <x:v>That C-Wren appeared as a KG member and execution party in instrument bodies even when the official party index named KG or K-L.</x:v>
      </x:c>
      <x:c r="J11" s="303" t="str">
        <x:v>A C-Wren merger, member percentage, Epstein beneficial ownership, or a complete downstream apartment-project title chain.</x:v>
      </x:c>
      <x:c r="K11" s="303" t="str">
        <x:v>The 1991 KG certificate and 1993 Columbus right-of-way deed name C-Wren in the body/signature blocks; both were invisible to the C-Wren party-name index.</x:v>
      </x:c>
      <x:c r="L11" s="303" t="str">
        <x:v>When an entity is a partner/member, pivot to the partnership, other member, project name, lenders, and instrument cross-references.</x:v>
      </x:c>
    </x:row>
    <x:row r="12" ht="76" customHeight="1">
      <x:c r="A12" s="303" t="str">
        <x:v>QA-08</x:v>
      </x:c>
      <x:c r="B12" s="303" t="str">
        <x:v>OCR token spillover and image-level duplicate correction</x:v>
      </x:c>
      <x:c r="C12" s="303" t="str">
        <x:v>Franklin OCR, index, and Park native images</x:v>
      </x:c>
      <x:c r="D12" s="303" t="str">
        <x:v>Park Properties Inc OCR family and the three consecutive 1984 mortgage recordings.</x:v>
      </x:c>
      <x:c r="E12" s="303" t="str">
        <x:v>26 OCR results; 12 true Park corporate instruments; 14 OCR/token false positives; 3 apparent 5-million-dollar mortgage rows; 1 underlying financing</x:v>
      </x:c>
      <x:c r="F12" s="303" t="str">
        <x:v>OCR results, true instruments, false positives, apparent rows, underlying transaction</x:v>
      </x:c>
      <x:c r="G12" s="303" t="str">
        <x:v>/tmp/osint-7Vd0k25d/report-agent-park-properties-family.md; /tmp/osint-7Vd0k25d/park-properties-instrument-ledger.csv; /tmp/osint-7Vd0k25d/franklin-entity-ocr-pagination.json</x:v>
      </x:c>
      <x:c r="H12" s="303" t="str">
        <x:v>Reviewed to all anonymously available images; four later UCC pages unavailable.</x:v>
      </x:c>
      <x:c r="I12" s="303" t="str">
        <x:v>OCR is useful for recall; images can collapse duplicate recordings and determine whether Park is mortgagee, owner, or merely a name substring.</x:v>
      </x:c>
      <x:c r="J12" s="303" t="str">
        <x:v>Summing index amounts, treating every OCR hit as the target, or identifying inaccessible UCC secured parties.</x:v>
      </x:c>
      <x:c r="K12" s="303" t="str">
        <x:v>Manor Park Properties, Inc. and similar names created false positives. Two satisfaction images say F-08 and F-13 were recording-officer errors duplicating F-03.</x:v>
      </x:c>
      <x:c r="L12" s="303" t="str">
        <x:v>Deduplicate by underlying instrument text and cross-references, not only document number. Never sum repeated portal amount fields without image review.</x:v>
      </x:c>
    </x:row>
    <x:row r="13" ht="76" customHeight="1">
      <x:c r="A13" s="303" t="str">
        <x:v>QA-09</x:v>
      </x:c>
      <x:c r="B13" s="303" t="str">
        <x:v>OCR misspelling false positives</x:v>
      </x:c>
      <x:c r="C13" s="303" t="str">
        <x:v>Franklin full-text OCR</x:v>
      </x:c>
      <x:c r="D13" s="303" t="str">
        <x:v>Broad LEWEX query and precise LEWEX Inc query.</x:v>
      </x:c>
      <x:c r="E13" s="303" t="str">
        <x:v>3 broad LEWEX OCR results; 0 precise LEWEX Inc results; 0 true LEWEX entity instruments</x:v>
      </x:c>
      <x:c r="F13" s="303" t="str">
        <x:v>broad OCR results, precise results, true instruments</x:v>
      </x:c>
      <x:c r="G13" s="303" t="str">
        <x:v>/tmp/osint-7Vd0k25d/franklin-entity-ocr-search-pages/ithildin-franklin-oh-entity-ocr-lewex-17-lewex-offset-0000000.json; /tmp/osint-7Vd0k25d/franklin-entity-ocr-variant-gap.json</x:v>
      </x:c>
      <x:c r="H13" s="303" t="str">
        <x:v>All three broad results inspected at metadata/OCR level; none is a LEWEX entity record.</x:v>
      </x:c>
      <x:c r="I13" s="303" t="str">
        <x:v>That OCR thought it saw the token and where those candidate pages reside.</x:v>
      </x:c>
      <x:c r="J13" s="303" t="str">
        <x:v>Any occurrence of the actual LEWEX corporation or a property relationship.</x:v>
      </x:c>
      <x:c r="K13" s="303" t="str">
        <x:v>The three records concern McCutcheon Crossing, the Hummels, and Columbus Airport Inn; OCR rendered unrelated text or handwriting as LEWEX.</x:v>
      </x:c>
      <x:c r="L13" s="303" t="str">
        <x:v>Require surrounding text and image confirmation for unusual proper-name OCR hits.</x:v>
      </x:c>
    </x:row>
    <x:row r="14" ht="76" customHeight="1">
      <x:c r="A14" s="303" t="str">
        <x:v>QA-10</x:v>
      </x:c>
      <x:c r="B14" s="303" t="str">
        <x:v>OCR exact-name hit is only a boundary reference</x:v>
      </x:c>
      <x:c r="C14" s="303" t="str">
        <x:v>Franklin precise OCR and HHD native images</x:v>
      </x:c>
      <x:c r="D14" s="303" t="str">
        <x:v>H.H.D.&amp;B., LLC and HHD&amp;B LLC exact variants.</x:v>
      </x:c>
      <x:c r="E14" s="303" t="str">
        <x:v>8 unique OCR instruments; 2 substantive HHD-party instruments; 6 boundary-reference instruments</x:v>
      </x:c>
      <x:c r="F14" s="303" t="str">
        <x:v>OCR hits, substantive instruments, boundary-only instruments</x:v>
      </x:c>
      <x:c r="G14" s="303" t="str">
        <x:v>/tmp/osint-7Vd0k25d/report-agent-hhd-family.md; /tmp/osint-7Vd0k25d/hhd-instrument-ledger.csv; /tmp/osint-7Vd0k25d/franklin-entity-ocr-variant-gap.json</x:v>
      </x:c>
      <x:c r="H14" s="303" t="str">
        <x:v>All eight instruments downloaded/OCRed; decisive pages visually reviewed.</x:v>
      </x:c>
      <x:c r="I14" s="303" t="str">
        <x:v>Discovery that the 1998 HHD deed remained embedded in later neighboring survey descriptions, plus two direct HHD records.</x:v>
      </x:c>
      <x:c r="J14" s="303" t="str">
        <x:v>That the six later instruments transferred, mortgaged, or encumbered HHD parcel 222-001350.</x:v>
      </x:c>
      <x:c r="K14" s="303" t="str">
        <x:v>The 2010 New Albany 50-million-dollar mortgage contains HHD only once as an adjacent boundary on page 97; it is not HHD debt.</x:v>
      </x:c>
      <x:c r="L14" s="303" t="str">
        <x:v>Classify each OCR hit as operative party, execution capacity, legal-history reference, boundary, or noise before adding it to a title chain.</x:v>
      </x:c>
    </x:row>
    <x:row r="15" ht="76" customHeight="1">
      <x:c r="A15" s="303" t="str">
        <x:v>QA-11</x:v>
      </x:c>
      <x:c r="B15" s="303" t="str">
        <x:v>Recorder marginal-reference volume/page collision</x:v>
      </x:c>
      <x:c r="C15" s="303" t="str">
        <x:v>Franklin exact detail and Rocky Fork native image</x:v>
      </x:c>
      <x:c r="D15" s="303" t="str">
        <x:v>PublicSearch link between the 1987 Rocky Fork partnership certificate and a 1998 New Albany/Hinson mortgage release.</x:v>
      </x:c>
      <x:c r="E15" s="303" t="str">
        <x:v>1 false post-dissolution lead</x:v>
      </x:c>
      <x:c r="F15" s="303" t="str">
        <x:v>collision-control instrument</x:v>
      </x:c>
      <x:c r="G15" s="303" t="str">
        <x:v>/tmp/osint-7Vd0k25d/report-agent-rocky-fork-family.md; /tmp/osint-7Vd0k25d/rocky-fork-instrument-ledger.csv</x:v>
      </x:c>
      <x:c r="H15" s="303" t="str">
        <x:v>Image visually reviewed.</x:v>
      </x:c>
      <x:c r="I15" s="303" t="str">
        <x:v>That the portal linked records sharing the printed locator 10996 H09.</x:v>
      </x:c>
      <x:c r="J15" s="303" t="str">
        <x:v>A real marginal continuation, Rocky Fork party role, or post-dissolution corporate act.</x:v>
      </x:c>
      <x:c r="K15" s="303" t="str">
        <x:v>The 1998 release never mentions Rocky Fork; the same volume/page belonged to different record-book classes.</x:v>
      </x:c>
      <x:c r="L15" s="303" t="str">
        <x:v>Validate marginal links against image text, document class, parties, and the referenced obligation before treating them as chain edges.</x:v>
      </x:c>
    </x:row>
    <x:row r="16" ht="76" customHeight="1">
      <x:c r="A16" s="303" t="str">
        <x:v>QA-12</x:v>
      </x:c>
      <x:c r="B16" s="303" t="str">
        <x:v>Index placeholder date corrected from image</x:v>
      </x:c>
      <x:c r="C16" s="303" t="str">
        <x:v>Franklin party index and KG/Cherry native plat images</x:v>
      </x:c>
      <x:c r="D16" s="303" t="str">
        <x:v>Recorder records carrying 1900-01-01 default dates.</x:v>
      </x:c>
      <x:c r="E16" s="303" t="str">
        <x:v>At least 3 reviewed placeholder-date records: 1 Cherry plat and 2 KG plats</x:v>
      </x:c>
      <x:c r="F16" s="303" t="str">
        <x:v>reviewed records</x:v>
      </x:c>
      <x:c r="G16" s="303" t="str">
        <x:v>/tmp/osint-7Vd0k25d/report-agent-cherry-bottom-family.md; /tmp/osint-7Vd0k25d/report-agent-c-wren-kg-family.md; /tmp/osint-7Vd0k25d/normalized-parcel-chronology.csv</x:v>
      </x:c>
      <x:c r="H16" s="303" t="str">
        <x:v>Plat faces visually reviewed; chronology uses image-supported 1992 or month-level 1993 dates rather than the portal default.</x:v>
      </x:c>
      <x:c r="I16" s="303" t="str">
        <x:v>That the portal date is a placeholder and that the document face supplies the real execution/approval/recording period.</x:v>
      </x:c>
      <x:c r="J16" s="303" t="str">
        <x:v>A literal 1900 property event or, for the KG plats, a precise June day where the image transcription remained uncertain.</x:v>
      </x:c>
      <x:c r="K16" s="303" t="str">
        <x:v>Cherry Bottom Commerce Park plat 190001010010624 shows September 1992 on its face; the two KG plats show June 1993.</x:v>
      </x:c>
      <x:c r="L16" s="303" t="str">
        <x:v>Flag implausible default dates and normalize only to the precision visibly supported by the image.</x:v>
      </x:c>
    </x:row>
    <x:row r="17" ht="76" customHeight="1">
      <x:c r="A17" s="303" t="str">
        <x:v>QA-13</x:v>
      </x:c>
      <x:c r="B17" s="303" t="str">
        <x:v>Index capacity and party direction can be wrong or incomplete</x:v>
      </x:c>
      <x:c r="C17" s="303" t="str">
        <x:v>Franklin party index versus native images</x:v>
      </x:c>
      <x:c r="D17" s="303" t="str">
        <x:v>Representative Cherry, Rocky Fork, and construction-notice records.</x:v>
      </x:c>
      <x:c r="E17" s="303" t="str">
        <x:v>NA</x:v>
      </x:c>
      <x:c r="F17" s="303" t="str">
        <x:v>NA</x:v>
      </x:c>
      <x:c r="G17" s="303" t="str">
        <x:v>/tmp/osint-7Vd0k25d/report-agent-cherry-bottom-family.md; /tmp/osint-7Vd0k25d/report-agent-rocky-fork-family.md; /tmp/osint-7Vd0k25d/normalized-parcel-chronology.csv</x:v>
      </x:c>
      <x:c r="H17" s="303" t="str">
        <x:v>Representative images reviewed.</x:v>
      </x:c>
      <x:c r="I17" s="303" t="str">
        <x:v>The index is a discovery locator; image text resolves actual lessor/lessee, grantor, general-partner, and contracting-party roles.</x:v>
      </x:c>
      <x:c r="J17" s="303" t="str">
        <x:v>Legal capacity from the order of grantor/grantee columns alone.</x:v>
      </x:c>
      <x:c r="K17" s="303" t="str">
        <x:v>The Brewer lease index reverses lessor/lessee direction; the 1995 Cherry deed omits HER, Inc. and misassigns the Luries; N.A. Property's notice does not prove fee ownership merely because it appears as a party.</x:v>
      </x:c>
      <x:c r="L17" s="303" t="str">
        <x:v>Store indexed party fields and image-derived legal capacity separately, with an explicit discrepancy note.</x:v>
      </x:c>
    </x:row>
    <x:row r="18" ht="76" customHeight="1">
      <x:c r="A18" s="304" t="str">
        <x:v>QA-14</x:v>
      </x:c>
      <x:c r="B18" s="304" t="str">
        <x:v>Statutory survivor versus title successor</x:v>
      </x:c>
      <x:c r="C18" s="304" t="str">
        <x:v>Ohio Secretary of State merger certificate plus Franklin recorder deeds/affidavit</x:v>
      </x:c>
      <x:c r="D18" s="304" t="str">
        <x:v>Morsham Land Corporation, Eastern Ohio Holding Company, and New Albany Company chain.</x:v>
      </x:c>
      <x:c r="E18" s="304" t="str">
        <x:v>8 merging corporations other than the survivor named in the 1995 schedule; 1 statutory survivor</x:v>
      </x:c>
      <x:c r="F18" s="304" t="str">
        <x:v>merging corporations and survivor</x:v>
      </x:c>
      <x:c r="G18" s="304" t="str">
        <x:v>/tmp/osint-7Vd0k25d/finding-morsham-statutory-merger.json; /tmp/osint-7Vd0k25d/provenance-14646.json; /tmp/osint-7Vd0k25d/report-agent-morsham-family.md</x:v>
      </x:c>
      <x:c r="H18" s="304" t="str">
        <x:v>Ohio merger certificate and decisive recorder pages visually reviewed.</x:v>
      </x:c>
      <x:c r="I18" s="304" t="str">
        <x:v>The Ohio filing proves Eastern Ohio was the statutory survivor; recorder deeds prove how Eastern Ohio acted in the land chain; the 2016 affidavit records an attributed ultimate-successor assertion.</x:v>
      </x:c>
      <x:c r="J18" s="304" t="str">
        <x:v>A complete later statutory path from Eastern Ohio to New Albany Company LLC, or automatic equivalence between corporate survivor and every later title/asset successor.</x:v>
      </x:c>
      <x:c r="K18" s="304" t="str">
        <x:v>The 1996/1997 deeds call Eastern Ohio successor by merger to Morsham, while the 2016 affidavit separately calls New Albany LLC successor-in-interest to Morsham assets.</x:v>
      </x:c>
      <x:c r="L18" s="304" t="str">
        <x:v>Model statutory merger edges, deed/title edges, and affidavit assertions as distinct relation types and dates.</x:v>
      </x:c>
    </x:row>
  </x:sheetData>
  <x:mergeCells>
    <x:mergeCell ref="A1:L1"/>
    <x:mergeCell ref="A2:L2"/>
  </x:mergeCells>
  <x:conditionalFormatting sqref="I5:I18">
    <x:cfRule type="containsText" dxfId="13" priority="1" operator="containsText" text="access"/>
  </x:conditionalFormatting>
  <x:pageMargins left="0.7" right="0.7" top="0.75" bottom="0.75" header="0.3" footer="0.3"/>
  <x:tableParts count="1">
    <x:tablePart xmlns:r="http://schemas.openxmlformats.org/officeDocument/2006/relationships" r:id="Rdde748b44ad342dc"/>
  </x:tableParts>
</x:worksheet>
</file>